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c81a11156945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Overview" sheetId="1" r:id="R28c2c11665a04347"/>
    <x:sheet xmlns:r="http://schemas.openxmlformats.org/officeDocument/2006/relationships" name="01_WBS" sheetId="2" r:id="Rd4e7e28bdfa34c9c"/>
    <x:sheet xmlns:r="http://schemas.openxmlformats.org/officeDocument/2006/relationships" name="02_Gantt" sheetId="3" r:id="R985c1240274548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;;;"/>
  </x:numFmts>
  <x:fonts count="11">
    <x:font>
      <x:sz val="11"/>
      <x:name val="Carlito"/>
    </x:font>
    <x:font>
      <x:b/>
      <x:sz val="18"/>
      <x:color rgb="FFFFFFFF"/>
      <x:name val="Yu Gothic"/>
    </x:font>
    <x:font>
      <x:b/>
      <x:sz val="10"/>
      <x:color rgb="FFFFFFFF"/>
      <x:name val="Yu Gothic"/>
    </x:font>
    <x:font>
      <x:b/>
      <x:sz val="10"/>
      <x:color rgb="FF134E4A"/>
      <x:name val="Yu Gothic"/>
    </x:font>
    <x:font>
      <x:b/>
      <x:sz val="10"/>
      <x:color rgb="FF111827"/>
      <x:name val="Yu Gothic"/>
    </x:font>
    <x:font>
      <x:sz val="10"/>
      <x:color rgb="FF111827"/>
      <x:name val="Yu Gothic"/>
    </x:font>
    <x:font>
      <x:sz val="9"/>
      <x:color rgb="FF111827"/>
      <x:name val="Yu Gothic"/>
    </x:font>
    <x:font>
      <x:sz val="10"/>
      <x:color rgb="FF334155"/>
      <x:name val="Yu Gothic"/>
    </x:font>
    <x:font>
      <x:b/>
      <x:sz val="9"/>
      <x:color rgb="FFFFFFFF"/>
      <x:name val="Yu Gothic"/>
    </x:font>
    <x:font>
      <x:b/>
      <x:sz val="16"/>
      <x:color rgb="FFFFFFFF"/>
      <x:name val="Yu Gothic"/>
    </x:font>
    <x:font>
      <x:b/>
      <x:sz val="9"/>
      <x:color rgb="FF134E4A"/>
      <x:name val="Yu Gothic"/>
    </x:font>
  </x:fonts>
  <x:fills count="13">
    <x:fill>
      <x:patternFill patternType="none"/>
    </x:fill>
    <x:fill>
      <x:patternFill patternType="gray125"/>
    </x:fill>
    <x:fill>
      <x:patternFill patternType="solid">
        <x:fgColor rgb="FF1F4E5F"/>
      </x:patternFill>
    </x:fill>
    <x:fill>
      <x:patternFill patternType="solid">
        <x:fgColor rgb="FFDCEFEA"/>
      </x:patternFill>
    </x:fill>
    <x:fill>
      <x:patternFill patternType="solid">
        <x:fgColor rgb="FFF8FAFC"/>
      </x:patternFill>
    </x:fill>
    <x:fill>
      <x:patternFill patternType="solid">
        <x:fgColor rgb="FF6B7280"/>
      </x:patternFill>
    </x:fill>
    <x:fill>
      <x:patternFill patternType="solid">
        <x:fgColor rgb="FF0F766E"/>
      </x:patternFill>
    </x:fill>
    <x:fill>
      <x:patternFill patternType="solid">
        <x:fgColor rgb="FF2563EB"/>
      </x:patternFill>
    </x:fill>
    <x:fill>
      <x:patternFill patternType="solid">
        <x:fgColor rgb="FF7C3AED"/>
      </x:patternFill>
    </x:fill>
    <x:fill>
      <x:patternFill patternType="solid">
        <x:fgColor rgb="FFD97706"/>
      </x:patternFill>
    </x:fill>
    <x:fill>
      <x:patternFill patternType="solid">
        <x:fgColor rgb="FF15803D"/>
      </x:patternFill>
    </x:fill>
    <x:fill>
      <x:patternFill patternType="solid">
        <x:fgColor rgb="FFBE123C"/>
      </x:patternFill>
    </x:fill>
    <x:fill>
      <x:patternFill patternType="solid">
        <x:fgColor rgb="FF374151"/>
      </x:patternFill>
    </x:fill>
  </x:fills>
  <x:borders count="4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8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center" wrapText="1"/>
    </x:xf>
    <x:xf numFmtId="200" fontId="5" fillId="0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2" xfId="0" applyNumberFormat="1" applyFont="1" applyFill="1" applyBorder="1"/>
    <x:xf numFmtId="0" fontId="6" fillId="0" borderId="2" xfId="0" applyNumberFormat="1" applyFont="1" applyFill="1" applyBorder="1" applyAlignment="1">
      <x:alignment wrapText="1"/>
    </x:xf>
    <x:xf numFmtId="0" fontId="6" fillId="0" borderId="2" xfId="0" applyNumberFormat="1" applyFont="1" applyFill="1" applyBorder="1" applyAlignment="1">
      <x:alignment vertical="top" wrapText="1"/>
    </x:xf>
    <x:xf numFmtId="200" fontId="6" fillId="0" borderId="2" xfId="0" applyNumberFormat="1" applyFont="1" applyFill="1" applyBorder="1" applyAlignment="1">
      <x:alignment vertical="top" wrapText="1"/>
    </x:xf>
    <x:xf numFmtId="201" fontId="6" fillId="0" borderId="2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3" xfId="0" applyNumberFormat="1" applyFont="1" applyFill="1" applyBorder="1"/>
    <x:xf numFmtId="0" fontId="7" fillId="4" borderId="3" xfId="0" applyNumberFormat="1" applyFont="1" applyFill="1" applyBorder="1" applyAlignment="1">
      <x:alignment wrapText="1"/>
    </x:xf>
    <x:xf numFmtId="0" fontId="7" fillId="4" borderId="3" xfId="0" applyNumberFormat="1" applyFont="1" applyFill="1" applyBorder="1" applyAlignment="1">
      <x:alignment vertical="top" wrapText="1"/>
    </x:xf>
    <x:xf numFmtId="0" fontId="6" fillId="5" borderId="2" xfId="0" applyNumberFormat="1" applyFont="1" applyFill="1" applyBorder="1" applyAlignment="1">
      <x:alignment vertical="top" wrapText="1"/>
    </x:xf>
    <x:xf numFmtId="0" fontId="8" fillId="5" borderId="2" xfId="0" applyNumberFormat="1" applyFont="1" applyFill="1" applyBorder="1" applyAlignment="1">
      <x:alignment vertical="top" wrapText="1"/>
    </x:xf>
    <x:xf numFmtId="0" fontId="8" fillId="5" borderId="2" xfId="0" applyNumberFormat="1" applyFont="1" applyFill="1" applyBorder="1" applyAlignment="1">
      <x:alignment horizontal="center" vertical="top" wrapText="1"/>
    </x:xf>
    <x:xf numFmtId="0" fontId="8" fillId="5" borderId="2" xfId="0" applyNumberFormat="1" applyFont="1" applyFill="1" applyBorder="1" applyAlignment="1">
      <x:alignment horizontal="center" vertical="center" wrapText="1"/>
    </x:xf>
    <x:xf numFmtId="0" fontId="6" fillId="6" borderId="2" xfId="0" applyNumberFormat="1" applyFont="1" applyFill="1" applyBorder="1" applyAlignment="1">
      <x:alignment vertical="top" wrapText="1"/>
    </x:xf>
    <x:xf numFmtId="0" fontId="8" fillId="6" borderId="2" xfId="0" applyNumberFormat="1" applyFont="1" applyFill="1" applyBorder="1" applyAlignment="1">
      <x:alignment vertical="top" wrapText="1"/>
    </x:xf>
    <x:xf numFmtId="0" fontId="8" fillId="6" borderId="2" xfId="0" applyNumberFormat="1" applyFont="1" applyFill="1" applyBorder="1" applyAlignment="1">
      <x:alignment horizontal="center" vertical="top" wrapText="1"/>
    </x:xf>
    <x:xf numFmtId="0" fontId="8" fillId="6" borderId="2" xfId="0" applyNumberFormat="1" applyFont="1" applyFill="1" applyBorder="1" applyAlignment="1">
      <x:alignment horizontal="center" vertical="center" wrapText="1"/>
    </x:xf>
    <x:xf numFmtId="0" fontId="6" fillId="7" borderId="2" xfId="0" applyNumberFormat="1" applyFont="1" applyFill="1" applyBorder="1" applyAlignment="1">
      <x:alignment vertical="top" wrapText="1"/>
    </x:xf>
    <x:xf numFmtId="0" fontId="8" fillId="7" borderId="2" xfId="0" applyNumberFormat="1" applyFont="1" applyFill="1" applyBorder="1" applyAlignment="1">
      <x:alignment vertical="top" wrapText="1"/>
    </x:xf>
    <x:xf numFmtId="0" fontId="8" fillId="7" borderId="2" xfId="0" applyNumberFormat="1" applyFont="1" applyFill="1" applyBorder="1" applyAlignment="1">
      <x:alignment horizontal="center" vertical="top" wrapText="1"/>
    </x:xf>
    <x:xf numFmtId="0" fontId="8" fillId="7" borderId="2" xfId="0" applyNumberFormat="1" applyFont="1" applyFill="1" applyBorder="1" applyAlignment="1">
      <x:alignment horizontal="center" vertical="center" wrapText="1"/>
    </x:xf>
    <x:xf numFmtId="0" fontId="6" fillId="8" borderId="2" xfId="0" applyNumberFormat="1" applyFont="1" applyFill="1" applyBorder="1" applyAlignment="1">
      <x:alignment vertical="top" wrapText="1"/>
    </x:xf>
    <x:xf numFmtId="0" fontId="8" fillId="8" borderId="2" xfId="0" applyNumberFormat="1" applyFont="1" applyFill="1" applyBorder="1" applyAlignment="1">
      <x:alignment vertical="top" wrapText="1"/>
    </x:xf>
    <x:xf numFmtId="0" fontId="8" fillId="8" borderId="2" xfId="0" applyNumberFormat="1" applyFont="1" applyFill="1" applyBorder="1" applyAlignment="1">
      <x:alignment horizontal="center" vertical="top" wrapText="1"/>
    </x:xf>
    <x:xf numFmtId="0" fontId="8" fillId="8" borderId="2" xfId="0" applyNumberFormat="1" applyFont="1" applyFill="1" applyBorder="1" applyAlignment="1">
      <x:alignment horizontal="center" vertical="center" wrapText="1"/>
    </x:xf>
    <x:xf numFmtId="0" fontId="6" fillId="9" borderId="2" xfId="0" applyNumberFormat="1" applyFont="1" applyFill="1" applyBorder="1" applyAlignment="1">
      <x:alignment vertical="top" wrapText="1"/>
    </x:xf>
    <x:xf numFmtId="0" fontId="8" fillId="9" borderId="2" xfId="0" applyNumberFormat="1" applyFont="1" applyFill="1" applyBorder="1" applyAlignment="1">
      <x:alignment vertical="top" wrapText="1"/>
    </x:xf>
    <x:xf numFmtId="0" fontId="8" fillId="9" borderId="2" xfId="0" applyNumberFormat="1" applyFont="1" applyFill="1" applyBorder="1" applyAlignment="1">
      <x:alignment horizontal="center" vertical="top" wrapText="1"/>
    </x:xf>
    <x:xf numFmtId="0" fontId="8" fillId="9" borderId="2" xfId="0" applyNumberFormat="1" applyFont="1" applyFill="1" applyBorder="1" applyAlignment="1">
      <x:alignment horizontal="center" vertical="center" wrapText="1"/>
    </x:xf>
    <x:xf numFmtId="0" fontId="6" fillId="10" borderId="2" xfId="0" applyNumberFormat="1" applyFont="1" applyFill="1" applyBorder="1" applyAlignment="1">
      <x:alignment vertical="top" wrapText="1"/>
    </x:xf>
    <x:xf numFmtId="0" fontId="8" fillId="10" borderId="2" xfId="0" applyNumberFormat="1" applyFont="1" applyFill="1" applyBorder="1" applyAlignment="1">
      <x:alignment vertical="top" wrapText="1"/>
    </x:xf>
    <x:xf numFmtId="0" fontId="8" fillId="10" borderId="2" xfId="0" applyNumberFormat="1" applyFont="1" applyFill="1" applyBorder="1" applyAlignment="1">
      <x:alignment horizontal="center" vertical="top" wrapText="1"/>
    </x:xf>
    <x:xf numFmtId="0" fontId="8" fillId="10" borderId="2" xfId="0" applyNumberFormat="1" applyFont="1" applyFill="1" applyBorder="1" applyAlignment="1">
      <x:alignment horizontal="center" vertical="center" wrapText="1"/>
    </x:xf>
    <x:xf numFmtId="0" fontId="6" fillId="11" borderId="2" xfId="0" applyNumberFormat="1" applyFont="1" applyFill="1" applyBorder="1" applyAlignment="1">
      <x:alignment vertical="top" wrapText="1"/>
    </x:xf>
    <x:xf numFmtId="0" fontId="8" fillId="11" borderId="2" xfId="0" applyNumberFormat="1" applyFont="1" applyFill="1" applyBorder="1" applyAlignment="1">
      <x:alignment vertical="top" wrapText="1"/>
    </x:xf>
    <x:xf numFmtId="0" fontId="8" fillId="11" borderId="2" xfId="0" applyNumberFormat="1" applyFont="1" applyFill="1" applyBorder="1" applyAlignment="1">
      <x:alignment horizontal="center" vertical="top" wrapText="1"/>
    </x:xf>
    <x:xf numFmtId="0" fontId="8" fillId="11" borderId="2" xfId="0" applyNumberFormat="1" applyFont="1" applyFill="1" applyBorder="1" applyAlignment="1">
      <x:alignment horizontal="center" vertical="center" wrapText="1"/>
    </x:xf>
    <x:xf numFmtId="0" fontId="6" fillId="12" borderId="2" xfId="0" applyNumberFormat="1" applyFont="1" applyFill="1" applyBorder="1" applyAlignment="1">
      <x:alignment vertical="top" wrapText="1"/>
    </x:xf>
    <x:xf numFmtId="0" fontId="8" fillId="12" borderId="2" xfId="0" applyNumberFormat="1" applyFont="1" applyFill="1" applyBorder="1" applyAlignment="1">
      <x:alignment vertical="top" wrapText="1"/>
    </x:xf>
    <x:xf numFmtId="0" fontId="8" fillId="12" borderId="2" xfId="0" applyNumberFormat="1" applyFont="1" applyFill="1" applyBorder="1" applyAlignment="1">
      <x:alignment horizontal="center" vertical="top" wrapText="1"/>
    </x:xf>
    <x:xf numFmtId="0" fontId="8" fillId="12" borderId="2" xfId="0" applyNumberFormat="1" applyFont="1" applyFill="1" applyBorder="1" applyAlignment="1">
      <x:alignment horizontal="center" vertical="center" wrapText="1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horizontal="center"/>
    </x:xf>
    <x:xf numFmtId="0" fontId="9" fillId="2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/>
    <x:xf numFmtId="0" fontId="3" fillId="3" borderId="3" xfId="0" applyNumberFormat="1" applyFont="1" applyFill="1" applyBorder="1"/>
    <x:xf numFmtId="0" fontId="3" fillId="3" borderId="3" xfId="0" applyNumberFormat="1" applyFont="1" applyFill="1" applyBorder="1" applyAlignment="1">
      <x:alignment horizontal="center"/>
    </x:xf>
    <x:xf numFmtId="0" fontId="3" fillId="3" borderId="3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5" fillId="0" borderId="3" xfId="0" applyNumberFormat="1" applyFont="1" applyFill="1" applyBorder="1"/>
    <x:xf numFmtId="0" fontId="5" fillId="0" borderId="3" xfId="0" applyNumberFormat="1" applyFont="1" applyFill="1" applyBorder="1" applyAlignment="1">
      <x:alignment vertical="center"/>
    </x:xf>
    <x:xf numFmtId="200" fontId="5" fillId="0" borderId="3" xfId="0" applyNumberFormat="1" applyFont="1" applyFill="1" applyBorder="1" applyAlignment="1">
      <x:alignment vertical="center"/>
    </x:xf>
    <x:xf numFmtId="0" fontId="10" fillId="3" borderId="0" xfId="0" applyNumberFormat="1" applyFont="1" applyFill="1" applyBorder="1"/>
    <x:xf numFmtId="0" fontId="10" fillId="3" borderId="3" xfId="0" applyNumberFormat="1" applyFont="1" applyFill="1" applyBorder="1"/>
    <x:xf numFmtId="0" fontId="10" fillId="3" borderId="3" xfId="0" applyNumberFormat="1" applyFont="1" applyFill="1" applyBorder="1" applyAlignment="1">
      <x:alignment wrapText="1"/>
    </x:xf>
    <x:xf numFmtId="0" fontId="10" fillId="3" borderId="3" xfId="0" applyNumberFormat="1" applyFont="1" applyFill="1" applyBorder="1" applyAlignment="1">
      <x:alignment horizontal="center" wrapText="1"/>
    </x:xf>
    <x:xf numFmtId="0" fontId="10" fillId="3" borderId="3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202" fontId="0" fillId="0" borderId="2" xfId="0" applyNumberFormat="1" applyFont="1" applyFill="1" applyBorder="1"/>
  </x:cellXfs>
  <x:cellStyles count="1">
    <x:cellStyle name="Normal" xfId="0"/>
  </x:cellStyles>
  <x:dxfs count="1">
    <x:dxf>
      <x:font>
        <x:b/>
        <x:color rgb="FF2F855A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4bdda385524b10" /><Relationship Type="http://schemas.openxmlformats.org/officeDocument/2006/relationships/theme" Target="/xl/theme/theme1.xml" Id="R5b66163bab524e33" /><Relationship Type="http://schemas.openxmlformats.org/officeDocument/2006/relationships/sharedStrings" Target="/xl/sharedStrings.xml" Id="R14fc160b13984155" /><Relationship Type="http://schemas.openxmlformats.org/officeDocument/2006/relationships/worksheet" Target="/xl/worksheets/sheet1.xml" Id="R28c2c11665a04347" /><Relationship Type="http://schemas.openxmlformats.org/officeDocument/2006/relationships/worksheet" Target="/xl/worksheets/sheet2.xml" Id="Rd4e7e28bdfa34c9c" /><Relationship Type="http://schemas.openxmlformats.org/officeDocument/2006/relationships/worksheet" Target="/xl/worksheets/sheet3.xml" Id="R985c12402745480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fdd30f75f9841b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Planned Workdays by Phase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Workdays</c:v>
          </c:tx>
          <c:cat>
            <c:strLit>
              <c:ptCount val="8"/>
              <c:pt idx="0">
                <c:v>Kickoff</c:v>
              </c:pt>
              <c:pt idx="1">
                <c:v>Local WP</c:v>
              </c:pt>
              <c:pt idx="2">
                <c:v>Theme/Data</c:v>
              </c:pt>
              <c:pt idx="3">
                <c:v>Post MVP</c:v>
              </c:pt>
              <c:pt idx="4">
                <c:v>Category</c:v>
              </c:pt>
              <c:pt idx="5">
                <c:v>Home</c:v>
              </c:pt>
              <c:pt idx="6">
                <c:v>QA</c:v>
              </c:pt>
              <c:pt idx="7">
                <c:v>Release</c:v>
              </c:pt>
            </c:strLit>
          </c:cat>
          <c:val>
            <c:numLit>
              <c:formatCode>0</c:formatCode>
              <c:ptCount val="8"/>
              <c:pt idx="0">
                <c:v>5</c:v>
              </c:pt>
              <c:pt idx="1">
                <c:v>5</c:v>
              </c:pt>
              <c:pt idx="2">
                <c:v>5</c:v>
              </c:pt>
              <c:pt idx="3">
                <c:v>5</c:v>
              </c:pt>
              <c:pt idx="4">
                <c:v>5</c:v>
              </c:pt>
              <c:pt idx="5">
                <c:v>7</c:v>
              </c:pt>
              <c:pt idx="6">
                <c:v>5</c:v>
              </c:pt>
              <c:pt idx="7">
                <c:v>3</c:v>
              </c:pt>
            </c:numLit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gapWidth val="7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Workdays</a:t>
                </a:r>
              </a:p>
            </c:rich>
          </c:tx>
          <c:overlay val="0"/>
        </c:title>
        <c:numFmt formatCode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4</xdr:col>
      <xdr:colOff>0</xdr:colOff>
      <xdr:row>10</xdr:row>
      <xdr:rowOff>0</xdr:rowOff>
    </xdr:from>
    <xdr:ext cx="4762500" cy="2667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fdd30f75f9841ba"/>
        </a:graphicData>
      </a:graphic>
    </xdr:graphicFrame>
    <xdr:clientData/>
  </xdr:oneCellAnchor>
</xdr:wsDr>
</file>

<file path=xl/tables/table1.xml><?xml version="1.0" encoding="utf-8"?>
<x:table xmlns:x="http://schemas.openxmlformats.org/spreadsheetml/2006/main" id="1" name="Table1" displayName="Table1" ref="A1:L35" headerRowCount="1">
  <x:tableColumns count="12">
    <x:tableColumn id="1" name="WBS"/>
    <x:tableColumn id="2" name="Phase"/>
    <x:tableColumn id="3" name="Task"/>
    <x:tableColumn id="4" name="Detail"/>
    <x:tableColumn id="5" name="Owner"/>
    <x:tableColumn id="6" name="Start"/>
    <x:tableColumn id="7" name="End"/>
    <x:tableColumn id="8" name="Days"/>
    <x:tableColumn id="9" name="Dependency"/>
    <x:tableColumn id="10" name="Deliverable"/>
    <x:tableColumn id="11" name="Acceptance"/>
    <x:tableColumn id="12" name="AI Test / Review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d1565ee0bfb40b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2a5ec5bcc454af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5600004196167" hidden="0" customWidth="1"/>
    <x:col min="2" max="2" width="20" hidden="0" customWidth="1"/>
    <x:col min="3" max="3" width="23.329999923706055" hidden="0" customWidth="1"/>
    <x:col min="4" max="4" width="8.890000343322754" hidden="0" customWidth="1"/>
    <x:col min="5" max="5" width="20" hidden="0" customWidth="1"/>
    <x:col min="6" max="6" width="12.220000267028809" hidden="0" customWidth="1"/>
    <x:col min="7" max="7" width="27.780000686645508" hidden="0" customWidth="1"/>
    <x:col min="8" max="8" width="11.109999656677246" hidden="0" customWidth="1"/>
    <x:col min="9" max="9" width="11.109999656677246" hidden="0" customWidth="1"/>
    <x:col min="10" max="10" width="11.109999656677246" hidden="0" customWidth="1"/>
  </x:cols>
  <x:sheetData>
    <x:row r="1" ht="25.5" customHeight="1">
      <x:c r="A1" s="4" t="str">
        <x:v>SAP Navi WordPress Local Build WBS &amp; Gantt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2" t="str">
        <x:v>项目</x:v>
      </x:c>
      <x:c r="B3" s="16" t="str">
        <x:v>SAP ナビ Demo WordPress 本地开发</x:v>
      </x:c>
      <x:c r="D3" s="22" t="str">
        <x:v>Milestone</x:v>
      </x:c>
      <x:c r="E3" s="22" t="str">
        <x:v>Name</x:v>
      </x:c>
      <x:c r="F3" s="22" t="str">
        <x:v>Date</x:v>
      </x:c>
      <x:c r="G3" s="22" t="str">
        <x:v>Primary Output</x:v>
      </x:c>
    </x:row>
    <x:row r="4" ht="21" customHeight="1">
      <x:c r="A4" s="12" t="str">
        <x:v>开始日</x:v>
      </x:c>
      <x:c r="B4" s="17" t="n">
        <x:v>46181</x:v>
      </x:c>
      <x:c r="D4" s="26" t="str">
        <x:v>M1</x:v>
      </x:c>
      <x:c r="E4" s="26" t="str">
        <x:v>范围与里程碑冻结</x:v>
      </x:c>
      <x:c r="F4" s="27" t="n">
        <x:v>46185</x:v>
      </x:c>
      <x:c r="G4" s="26" t="str">
        <x:v>风险台账、范围清单、AI 协作规范</x:v>
      </x:c>
    </x:row>
    <x:row r="5" ht="21" customHeight="1">
      <x:c r="A5" s="12" t="str">
        <x:v>发布日</x:v>
      </x:c>
      <x:c r="B5" s="17" t="n">
        <x:v>46234</x:v>
      </x:c>
      <x:c r="D5" s="26" t="str">
        <x:v>M2</x:v>
      </x:c>
      <x:c r="E5" s="26" t="str">
        <x:v>本地 WordPress 可用</x:v>
      </x:c>
      <x:c r="F5" s="27" t="n">
        <x:v>46192</x:v>
      </x:c>
      <x:c r="G5" s="26" t="str">
        <x:v>本地站点、插件基线、备份基线</x:v>
      </x:c>
    </x:row>
    <x:row r="6" ht="21" customHeight="1">
      <x:c r="A6" s="12" t="str">
        <x:v>工期</x:v>
      </x:c>
      <x:c r="B6" s="16" t="str">
        <x:v>8 周 / 40 个工作日</x:v>
      </x:c>
      <x:c r="D6" s="26" t="str">
        <x:v>M3</x:v>
      </x:c>
      <x:c r="E6" s="26" t="str">
        <x:v>主题与数据结构完成</x:v>
      </x:c>
      <x:c r="F6" s="27" t="n">
        <x:v>46199</x:v>
      </x:c>
      <x:c r="G6" s="26" t="str">
        <x:v>子主题、SVG 资源、CPT/ACF</x:v>
      </x:c>
    </x:row>
    <x:row r="7" ht="21" customHeight="1">
      <x:c r="A7" s="12" t="str">
        <x:v>开发方式</x:v>
      </x:c>
      <x:c r="B7" s="16" t="str">
        <x:v>本地优先 + AI 协作开发测试</x:v>
      </x:c>
      <x:c r="D7" s="26" t="str">
        <x:v>M4</x:v>
      </x:c>
      <x:c r="E7" s="26" t="str">
        <x:v>文章页与分类页 MVP</x:v>
      </x:c>
      <x:c r="F7" s="27" t="n">
        <x:v>46213</x:v>
      </x:c>
      <x:c r="G7" s="26" t="str">
        <x:v>文章页、筛选器、移动端分类页</x:v>
      </x:c>
    </x:row>
    <x:row r="8" ht="21" customHeight="1">
      <x:c r="A8" s="12" t="str">
        <x:v>技术栈</x:v>
      </x:c>
      <x:c r="B8" s="16" t="str">
        <x:v>WordPress + Kadence + ACF + Filter Plugin</x:v>
      </x:c>
      <x:c r="D8" s="26" t="str">
        <x:v>M5</x:v>
      </x:c>
      <x:c r="E8" s="26" t="str">
        <x:v>首页全部核心模块完成</x:v>
      </x:c>
      <x:c r="F8" s="27" t="n">
        <x:v>46224</x:v>
      </x:c>
      <x:c r="G8" s="26" t="str">
        <x:v>Hero、模块卡、Quiz、视频、订阅</x:v>
      </x:c>
    </x:row>
    <x:row r="9" ht="21" customHeight="1">
      <x:c r="D9" s="26" t="str">
        <x:v>M6</x:v>
      </x:c>
      <x:c r="E9" s="26" t="str">
        <x:v>QA 与上线准备完成</x:v>
      </x:c>
      <x:c r="F9" s="27" t="n">
        <x:v>46231</x:v>
      </x:c>
      <x:c r="G9" s="26" t="str">
        <x:v>Lighthouse、SEO、可访问性报告</x:v>
      </x:c>
    </x:row>
    <x:row r="10" ht="21" customHeight="1">
      <x:c r="D10" s="26" t="str">
        <x:v>M7</x:v>
      </x:c>
      <x:c r="E10" s="26" t="str">
        <x:v>公网 IP 发布</x:v>
      </x:c>
      <x:c r="F10" s="27" t="n">
        <x:v>46234</x:v>
      </x:c>
      <x:c r="G10" s="26" t="str">
        <x:v>上线验收单、运维手册、交接资料</x:v>
      </x:c>
    </x:row>
    <x:row r="11">
      <x:c r="A11" s="22" t="str">
        <x:v>Phase</x:v>
      </x:c>
      <x:c r="B11" s="22" t="str">
        <x:v>Workdays</x:v>
      </x:c>
      <x:c r="C11" s="22" t="str">
        <x:v>Checkpoint</x:v>
      </x:c>
    </x:row>
    <x:row r="12" ht="22.5" customHeight="1">
      <x:c r="A12" s="26" t="str">
        <x:v>1. 项目启动与基线</x:v>
      </x:c>
      <x:c r="B12" s="28" t="n">
        <x:v>5</x:v>
      </x:c>
      <x:c r="C12" s="26" t="str">
        <x:v>M1 范围冻结</x:v>
      </x:c>
    </x:row>
    <x:row r="13" ht="22.5" customHeight="1">
      <x:c r="A13" s="26" t="str">
        <x:v>2. 本地环境与仓库基线</x:v>
      </x:c>
      <x:c r="B13" s="28" t="n">
        <x:v>5</x:v>
      </x:c>
      <x:c r="C13" s="26" t="str">
        <x:v>M2 本地 WordPress 可用</x:v>
      </x:c>
    </x:row>
    <x:row r="14" ht="22.5" customHeight="1">
      <x:c r="A14" s="26" t="str">
        <x:v>3. 设计系统与数据模型</x:v>
      </x:c>
      <x:c r="B14" s="28" t="n">
        <x:v>5</x:v>
      </x:c>
      <x:c r="C14" s="26" t="str">
        <x:v>M3 子主题与数据结构完成</x:v>
      </x:c>
    </x:row>
    <x:row r="15" ht="22.5" customHeight="1">
      <x:c r="A15" s="26" t="str">
        <x:v>4. 全局布局与文章系统</x:v>
      </x:c>
      <x:c r="B15" s="28" t="n">
        <x:v>5</x:v>
      </x:c>
      <x:c r="C15" s="26" t="str">
        <x:v>M4 文章页 MVP 完成</x:v>
      </x:c>
    </x:row>
    <x:row r="16" ht="22.5" customHeight="1">
      <x:c r="A16" s="26" t="str">
        <x:v>5. 分类页与筛选系统</x:v>
      </x:c>
      <x:c r="B16" s="28" t="n">
        <x:v>5</x:v>
      </x:c>
      <x:c r="C16" s="26" t="str">
        <x:v>M5 分类页可筛选</x:v>
      </x:c>
    </x:row>
    <x:row r="17" ht="22.5" customHeight="1">
      <x:c r="A17" s="26" t="str">
        <x:v>6. 首页核心模块开发</x:v>
      </x:c>
      <x:c r="B17" s="28" t="n">
        <x:v>7</x:v>
      </x:c>
      <x:c r="C17" s="26" t="str">
        <x:v>M6 首页全部核心模块完成</x:v>
      </x:c>
    </x:row>
    <x:row r="18" ht="22.5" customHeight="1">
      <x:c r="A18" s="26" t="str">
        <x:v>7. 内容填充与质量保证</x:v>
      </x:c>
      <x:c r="B18" s="28" t="n">
        <x:v>5</x:v>
      </x:c>
      <x:c r="C18" s="26" t="str">
        <x:v>M7 全站 QA 完成</x:v>
      </x:c>
    </x:row>
    <x:row r="19" ht="22.5" customHeight="1">
      <x:c r="A19" s="26" t="str">
        <x:v>8. 迁移演练与 IP 发布</x:v>
      </x:c>
      <x:c r="B19" s="28" t="n">
        <x:v>3</x:v>
      </x:c>
      <x:c r="C19" s="26" t="str">
        <x:v>M8 公网 IP 发布</x:v>
      </x:c>
    </x:row>
    <x:row r="22">
      <x:c r="A22" s="22" t="str">
        <x:v>Week</x:v>
      </x:c>
      <x:c r="B22" s="22" t="str">
        <x:v>Date Range</x:v>
      </x:c>
      <x:c r="C22" s="22" t="str">
        <x:v>Focus</x:v>
      </x:c>
      <x:c r="D22" s="22" t="str">
        <x:v>Days</x:v>
      </x:c>
      <x:c r="E22" s="22" t="str">
        <x:v>Exit Gate</x:v>
      </x:c>
    </x:row>
    <x:row r="23" ht="21" customHeight="1">
      <x:c r="A23" s="26" t="str">
        <x:v>W1</x:v>
      </x:c>
      <x:c r="B23" s="26" t="str">
        <x:v>2026-06-08 ~ 2026-06-12</x:v>
      </x:c>
      <x:c r="C23" s="26" t="str">
        <x:v>需求拆解 / 范围冻结 / AI 规范 / 风险台账</x:v>
      </x:c>
      <x:c r="D23" s="28" t="n">
        <x:v>5</x:v>
      </x:c>
      <x:c r="E23" s="26" t="str">
        <x:v>范围与里程碑冻结</x:v>
      </x:c>
    </x:row>
    <x:row r="24" ht="21" customHeight="1">
      <x:c r="A24" s="26" t="str">
        <x:v>W2</x:v>
      </x:c>
      <x:c r="B24" s="26" t="str">
        <x:v>2026-06-15 ~ 2026-06-19</x:v>
      </x:c>
      <x:c r="C24" s="26" t="str">
        <x:v>Docker、本地 WP、插件基线、备份基线</x:v>
      </x:c>
      <x:c r="D24" s="28" t="n">
        <x:v>5</x:v>
      </x:c>
      <x:c r="E24" s="26" t="str">
        <x:v>localhost 与 /wp-admin 可用</x:v>
      </x:c>
    </x:row>
    <x:row r="25" ht="21" customHeight="1">
      <x:c r="A25" s="26" t="str">
        <x:v>W3</x:v>
      </x:c>
      <x:c r="B25" s="26" t="str">
        <x:v>2026-06-22 ~ 2026-06-26</x:v>
      </x:c>
      <x:c r="C25" s="26" t="str">
        <x:v>子主题、Token、SVG、CPT/ACF</x:v>
      </x:c>
      <x:c r="D25" s="28" t="n">
        <x:v>5</x:v>
      </x:c>
      <x:c r="E25" s="26" t="str">
        <x:v>设计系统与数据模型完成</x:v>
      </x:c>
    </x:row>
    <x:row r="26" ht="21" customHeight="1">
      <x:c r="A26" s="26" t="str">
        <x:v>W4</x:v>
      </x:c>
      <x:c r="B26" s="26" t="str">
        <x:v>2026-06-29 ~ 2026-07-03</x:v>
      </x:c>
      <x:c r="C26" s="26" t="str">
        <x:v>Header/Footer、Single Post、对话区块、样例文章</x:v>
      </x:c>
      <x:c r="D26" s="28" t="n">
        <x:v>5</x:v>
      </x:c>
      <x:c r="E26" s="26" t="str">
        <x:v>文章页 MVP 完成</x:v>
      </x:c>
    </x:row>
    <x:row r="27" ht="21" customHeight="1">
      <x:c r="A27" s="26" t="str">
        <x:v>W5</x:v>
      </x:c>
      <x:c r="B27" s="26" t="str">
        <x:v>2026-07-06 ~ 2026-07-10</x:v>
      </x:c>
      <x:c r="C27" s="26" t="str">
        <x:v>Category Hero、筛选、排序分页、移动端 Drawer</x:v>
      </x:c>
      <x:c r="D27" s="28" t="n">
        <x:v>5</x:v>
      </x:c>
      <x:c r="E27" s="26" t="str">
        <x:v>分类页可用并支持筛选</x:v>
      </x:c>
    </x:row>
    <x:row r="28" ht="21" customHeight="1">
      <x:c r="A28" s="26" t="str">
        <x:v>W6</x:v>
      </x:c>
      <x:c r="B28" s="26" t="str">
        <x:v>2026-07-13 ~ 2026-07-17</x:v>
      </x:c>
      <x:c r="C28" s="26" t="str">
        <x:v>首页模板、Hero、模块卡、Learning Path、Quiz</x:v>
      </x:c>
      <x:c r="D28" s="28" t="n">
        <x:v>5</x:v>
      </x:c>
      <x:c r="E28" s="26" t="str">
        <x:v>首页核心交互完成</x:v>
      </x:c>
    </x:row>
    <x:row r="29" ht="21" customHeight="1">
      <x:c r="A29" s="26" t="str">
        <x:v>W7</x:v>
      </x:c>
      <x:c r="B29" s="26" t="str">
        <x:v>2026-07-20 ~ 2026-07-24</x:v>
      </x:c>
      <x:c r="C29" s="26" t="str">
        <x:v>首页剩余模块、内容填充、测试记录、缺陷修复</x:v>
      </x:c>
      <x:c r="D29" s="28" t="n">
        <x:v>5</x:v>
      </x:c>
      <x:c r="E29" s="26" t="str">
        <x:v>站点可完整演示</x:v>
      </x:c>
    </x:row>
    <x:row r="30" ht="21" customHeight="1">
      <x:c r="A30" s="26" t="str">
        <x:v>W8</x:v>
      </x:c>
      <x:c r="B30" s="26" t="str">
        <x:v>2026-07-27 ~ 2026-07-31</x:v>
      </x:c>
      <x:c r="C30" s="26" t="str">
        <x:v>性能/SEO/无障碍、迁移演练、IP 发布、交接</x:v>
      </x:c>
      <x:c r="D30" s="28" t="n">
        <x:v>5</x:v>
      </x:c>
      <x:c r="E30" s="26" t="str">
        <x:v>公网 IP 可访问并验收</x:v>
      </x:c>
    </x:row>
    <x:row r="32">
      <x:c r="A32" s="33" t="str">
        <x:v>使用说明：WBS 页用于逐项跟踪成果物与验收标准，Gantt 页用于按周查看排期。假设项目于 2026-06-08（周一）启动，并于 2026-07-31（周五）完成本地开发、迁移演练与公网 IP 发布。</x:v>
      </x:c>
      <x:c r="B32" s="33"/>
      <x:c r="C32" s="33"/>
      <x:c r="D32" s="33"/>
      <x:c r="E32" s="33"/>
      <x:c r="F32" s="33"/>
      <x:c r="G32" s="33"/>
      <x:c r="H32" s="33"/>
      <x:c r="I32" s="33"/>
      <x:c r="J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</x:row>
  </x:sheetData>
  <x:mergeCells>
    <x:mergeCell ref="A1:J1"/>
    <x:mergeCell ref="A32:J34"/>
  </x:mergeCells>
  <x:pageMargins left="0.7" right="0.7" top="0.75" bottom="0.75" header="0.3" footer="0.3"/>
  <x:drawing xmlns:r="http://schemas.openxmlformats.org/officeDocument/2006/relationships" r:id="Red1565ee0bfb40b6"/>
</x:worksheet>
</file>

<file path=xl/worksheets/sheet2.xml><?xml version="1.0" encoding="utf-8"?>
<x:worksheet xmlns:x="http://schemas.openxmlformats.org/spreadsheetml/2006/main">
  <x:sheetFormatPr defaultRowHeight="15"/>
  <x:cols>
    <x:col min="1" max="1" width="7.78000020980835" hidden="0" customWidth="1"/>
    <x:col min="2" max="2" width="16.670000076293945" hidden="0" customWidth="1"/>
    <x:col min="3" max="3" width="18.889999389648438" hidden="0" customWidth="1"/>
    <x:col min="4" max="4" width="32.220001220703125" hidden="0" customWidth="1"/>
    <x:col min="5" max="5" width="12.220000267028809" hidden="0" customWidth="1"/>
    <x:col min="6" max="6" width="11.109999656677246" hidden="0" customWidth="1"/>
    <x:col min="7" max="7" width="11.109999656677246" hidden="0" customWidth="1"/>
    <x:col min="8" max="8" width="6.670000076293945" hidden="0" customWidth="1"/>
    <x:col min="9" max="9" width="8.890000343322754" hidden="0" customWidth="1"/>
    <x:col min="10" max="10" width="21.110000610351562" hidden="0" customWidth="1"/>
    <x:col min="11" max="11" width="24.440000534057617" hidden="0" customWidth="1"/>
    <x:col min="12" max="12" width="24.440000534057617" hidden="0" customWidth="1"/>
  </x:cols>
  <x:sheetData>
    <x:row r="1">
      <x:c r="A1" s="22" t="str">
        <x:v>WBS</x:v>
      </x:c>
      <x:c r="B1" s="22" t="str">
        <x:v>Phase</x:v>
      </x:c>
      <x:c r="C1" s="22" t="str">
        <x:v>Task</x:v>
      </x:c>
      <x:c r="D1" s="22" t="str">
        <x:v>Detail</x:v>
      </x:c>
      <x:c r="E1" s="22" t="str">
        <x:v>Owner</x:v>
      </x:c>
      <x:c r="F1" s="22" t="str">
        <x:v>Start</x:v>
      </x:c>
      <x:c r="G1" s="22" t="str">
        <x:v>End</x:v>
      </x:c>
      <x:c r="H1" s="22" t="str">
        <x:v>Days</x:v>
      </x:c>
      <x:c r="I1" s="22" t="str">
        <x:v>Dependency</x:v>
      </x:c>
      <x:c r="J1" s="22" t="str">
        <x:v>Deliverable</x:v>
      </x:c>
      <x:c r="K1" s="22" t="str">
        <x:v>Acceptance</x:v>
      </x:c>
      <x:c r="L1" s="22" t="str">
        <x:v>AI Test / Review</x:v>
      </x:c>
    </x:row>
    <x:row r="2" ht="39" customHeight="1">
      <x:c r="A2" s="26" t="str">
        <x:v>1.1</x:v>
      </x:c>
      <x:c r="B2" s="37" t="str">
        <x:v>1. 项目启动与基线</x:v>
      </x:c>
      <x:c r="C2" s="26" t="str">
        <x:v>设计书拆解与页面矩阵</x:v>
      </x:c>
      <x:c r="D2" s="26" t="str">
        <x:v>梳理首页、分类页、文章页、Hero、Quiz、Learning Path、YouTube、Newsletter 的结构与区块映射。</x:v>
      </x:c>
      <x:c r="E2" s="26" t="str">
        <x:v>PM / AI</x:v>
      </x:c>
      <x:c r="F2" s="27" t="n">
        <x:v>46181</x:v>
      </x:c>
      <x:c r="G2" s="27" t="n">
        <x:v>46182</x:v>
      </x:c>
      <x:c r="H2" s="28" t="n">
        <x:v>2</x:v>
      </x:c>
      <x:c r="I2" s="26" t="str">
        <x:v>-</x:v>
      </x:c>
      <x:c r="J2" s="26" t="str">
        <x:v>页面矩阵、站点地图、模块映射表</x:v>
      </x:c>
      <x:c r="K2" s="26" t="str">
        <x:v>三类页面与全部首页模块均入表并可追踪。</x:v>
      </x:c>
      <x:c r="L2" s="26" t="str">
        <x:v>AI 先输出页面拆解初稿，人工校对后保留 prompt 与截图。</x:v>
      </x:c>
    </x:row>
    <x:row r="3" ht="39" customHeight="1">
      <x:c r="A3" s="26" t="str">
        <x:v>1.2</x:v>
      </x:c>
      <x:c r="B3" s="37" t="str">
        <x:v>1. 项目启动与基线</x:v>
      </x:c>
      <x:c r="C3" s="26" t="str">
        <x:v>范围冻结与优先级</x:v>
      </x:c>
      <x:c r="D3" s="26" t="str">
        <x:v>确认 MVP、增强项、延期项，明确本地完成后再迁移到公网 IP 的交付边界。</x:v>
      </x:c>
      <x:c r="E3" s="26" t="str">
        <x:v>PM / Dev</x:v>
      </x:c>
      <x:c r="F3" s="27" t="n">
        <x:v>46183</x:v>
      </x:c>
      <x:c r="G3" s="27" t="n">
        <x:v>46183</x:v>
      </x:c>
      <x:c r="H3" s="28" t="n">
        <x:v>1</x:v>
      </x:c>
      <x:c r="I3" s="26" t="str">
        <x:v>1.1</x:v>
      </x:c>
      <x:c r="J3" s="26" t="str">
        <x:v>范围清单、优先级表、延期项清单</x:v>
      </x:c>
      <x:c r="K3" s="26" t="str">
        <x:v>MVP、增强项、延后项三类范围已确认。</x:v>
      </x:c>
      <x:c r="L3" s="26" t="str">
        <x:v>AI 辅助生成范围说明，人工确认成本与依赖。</x:v>
      </x:c>
    </x:row>
    <x:row r="4" ht="39" customHeight="1">
      <x:c r="A4" s="26" t="str">
        <x:v>1.3</x:v>
      </x:c>
      <x:c r="B4" s="37" t="str">
        <x:v>1. 项目启动与基线</x:v>
      </x:c>
      <x:c r="C4" s="26" t="str">
        <x:v>AI 开发与测试规范</x:v>
      </x:c>
      <x:c r="D4" s="26" t="str">
        <x:v>定义提示词模板、截图命名、缺陷单模板、提交粒度与回归测试记录方式。</x:v>
      </x:c>
      <x:c r="E4" s="26" t="str">
        <x:v>PM / QA</x:v>
      </x:c>
      <x:c r="F4" s="27" t="n">
        <x:v>46184</x:v>
      </x:c>
      <x:c r="G4" s="27" t="n">
        <x:v>46184</x:v>
      </x:c>
      <x:c r="H4" s="28" t="n">
        <x:v>1</x:v>
      </x:c>
      <x:c r="I4" s="26" t="str">
        <x:v>1.2</x:v>
      </x:c>
      <x:c r="J4" s="26" t="str">
        <x:v>AI 协作规范、Prompt 模板、缺陷模板</x:v>
      </x:c>
      <x:c r="K4" s="26" t="str">
        <x:v>后续每一阶段都可留存 prompt、截图、修复记录。</x:v>
      </x:c>
      <x:c r="L4" s="26" t="str">
        <x:v>建立 prompt 模板库并给出示例输入输出。</x:v>
      </x:c>
    </x:row>
    <x:row r="5" ht="39" customHeight="1">
      <x:c r="A5" s="26" t="str">
        <x:v>1.4</x:v>
      </x:c>
      <x:c r="B5" s="37" t="str">
        <x:v>1. 项目启动与基线</x:v>
      </x:c>
      <x:c r="C5" s="26" t="str">
        <x:v>风险台账与里程碑确认</x:v>
      </x:c>
      <x:c r="D5" s="26" t="str">
        <x:v>识别插件授权、迁移替换、性能、IP 发布、HTTPS 和移动端适配等风险。</x:v>
      </x:c>
      <x:c r="E5" s="26" t="str">
        <x:v>PM</x:v>
      </x:c>
      <x:c r="F5" s="27" t="n">
        <x:v>46185</x:v>
      </x:c>
      <x:c r="G5" s="27" t="n">
        <x:v>46185</x:v>
      </x:c>
      <x:c r="H5" s="28" t="n">
        <x:v>1</x:v>
      </x:c>
      <x:c r="I5" s="26" t="str">
        <x:v>1.3</x:v>
      </x:c>
      <x:c r="J5" s="26" t="str">
        <x:v>风险台账、里程碑表、验收节点评审单</x:v>
      </x:c>
      <x:c r="K5" s="26" t="str">
        <x:v>风险均有责任人、缓解动作和检查日期。</x:v>
      </x:c>
      <x:c r="L5" s="26" t="str">
        <x:v>AI 辅助列出风险清单，人工补充缓解措施。</x:v>
      </x:c>
    </x:row>
    <x:row r="6" ht="39" customHeight="1">
      <x:c r="A6" s="26" t="str">
        <x:v>2.1</x:v>
      </x:c>
      <x:c r="B6" s="41" t="str">
        <x:v>2. 本地环境与仓库基线</x:v>
      </x:c>
      <x:c r="C6" s="26" t="str">
        <x:v>本地架构确认</x:v>
      </x:c>
      <x:c r="D6" s="26" t="str">
        <x:v>确定 Docker + WordPress + MariaDB + phpMyAdmin 的本地方案与目录结构。</x:v>
      </x:c>
      <x:c r="E6" s="26" t="str">
        <x:v>Dev / Infra</x:v>
      </x:c>
      <x:c r="F6" s="27" t="n">
        <x:v>46188</x:v>
      </x:c>
      <x:c r="G6" s="27" t="n">
        <x:v>46188</x:v>
      </x:c>
      <x:c r="H6" s="28" t="n">
        <x:v>1</x:v>
      </x:c>
      <x:c r="I6" s="26" t="str">
        <x:v>1.4</x:v>
      </x:c>
      <x:c r="J6" s="26" t="str">
        <x:v>本地架构说明、目录结构图、端口分配表</x:v>
      </x:c>
      <x:c r="K6" s="26" t="str">
        <x:v>容器、数据库、上传目录、备份目录均已定义。</x:v>
      </x:c>
      <x:c r="L6" s="26" t="str">
        <x:v>AI 辅助生成 compose 方案候选，人工选定结构。</x:v>
      </x:c>
    </x:row>
    <x:row r="7" ht="39" customHeight="1">
      <x:c r="A7" s="26" t="str">
        <x:v>2.2</x:v>
      </x:c>
      <x:c r="B7" s="41" t="str">
        <x:v>2. 本地环境与仓库基线</x:v>
      </x:c>
      <x:c r="C7" s="26" t="str">
        <x:v>Docker Compose 与初始化脚本</x:v>
      </x:c>
      <x:c r="D7" s="26" t="str">
        <x:v>编写 compose、数据库卷、初始环境变量和 WordPress 启动脚本。</x:v>
      </x:c>
      <x:c r="E7" s="26" t="str">
        <x:v>Dev</x:v>
      </x:c>
      <x:c r="F7" s="27" t="n">
        <x:v>46189</x:v>
      </x:c>
      <x:c r="G7" s="27" t="n">
        <x:v>46189</x:v>
      </x:c>
      <x:c r="H7" s="28" t="n">
        <x:v>1</x:v>
      </x:c>
      <x:c r="I7" s="26" t="str">
        <x:v>2.1</x:v>
      </x:c>
      <x:c r="J7" s="26" t="str">
        <x:v>docker-compose.yml、.env.sample、bootstrap 脚本</x:v>
      </x:c>
      <x:c r="K7" s="26" t="str">
        <x:v>一条命令可拉起容器并保持数据持久化。</x:v>
      </x:c>
      <x:c r="L7" s="26" t="str">
        <x:v>AI 检查 compose 语法与端口冲突。</x:v>
      </x:c>
    </x:row>
    <x:row r="8" ht="39" customHeight="1">
      <x:c r="A8" s="26" t="str">
        <x:v>2.3</x:v>
      </x:c>
      <x:c r="B8" s="41" t="str">
        <x:v>2. 本地环境与仓库基线</x:v>
      </x:c>
      <x:c r="C8" s="26" t="str">
        <x:v>WordPress 安装与后台初始化</x:v>
      </x:c>
      <x:c r="D8" s="26" t="str">
        <x:v>完成站点标题、管理员账号、固定链接、媒体上传和常用设置初始化。</x:v>
      </x:c>
      <x:c r="E8" s="26" t="str">
        <x:v>Dev</x:v>
      </x:c>
      <x:c r="F8" s="27" t="n">
        <x:v>46190</x:v>
      </x:c>
      <x:c r="G8" s="27" t="n">
        <x:v>46190</x:v>
      </x:c>
      <x:c r="H8" s="28" t="n">
        <x:v>1</x:v>
      </x:c>
      <x:c r="I8" s="26" t="str">
        <x:v>2.2</x:v>
      </x:c>
      <x:c r="J8" s="26" t="str">
        <x:v>本地 WP 站点、管理员账号表、初始化截图</x:v>
      </x:c>
      <x:c r="K8" s="26" t="str">
        <x:v>localhost 可访问，/wp-admin 可登录，固定链接正常。</x:v>
      </x:c>
      <x:c r="L8" s="26" t="str">
        <x:v>AI 输出初始化检查表，人工逐项核对。</x:v>
      </x:c>
    </x:row>
    <x:row r="9" ht="39" customHeight="1">
      <x:c r="A9" s="26" t="str">
        <x:v>2.4</x:v>
      </x:c>
      <x:c r="B9" s="41" t="str">
        <x:v>2. 本地环境与仓库基线</x:v>
      </x:c>
      <x:c r="C9" s="26" t="str">
        <x:v>主题与插件基线安装</x:v>
      </x:c>
      <x:c r="D9" s="26" t="str">
        <x:v>安装 Kadence、Kadence Blocks、ACF、FacetWP 或替代筛选插件、TOC、Mailchimp、SEO 等插件。</x:v>
      </x:c>
      <x:c r="E9" s="26" t="str">
        <x:v>Dev</x:v>
      </x:c>
      <x:c r="F9" s="27" t="n">
        <x:v>46191</x:v>
      </x:c>
      <x:c r="G9" s="27" t="n">
        <x:v>46191</x:v>
      </x:c>
      <x:c r="H9" s="28" t="n">
        <x:v>1</x:v>
      </x:c>
      <x:c r="I9" s="26" t="str">
        <x:v>2.3</x:v>
      </x:c>
      <x:c r="J9" s="26" t="str">
        <x:v>插件清单、版本表、启用截图</x:v>
      </x:c>
      <x:c r="K9" s="26" t="str">
        <x:v>设计书要求的主题与插件全部可用且无报错。</x:v>
      </x:c>
      <x:c r="L9" s="26" t="str">
        <x:v>AI 对照设计书检查插件遗漏与冲突风险。</x:v>
      </x:c>
    </x:row>
    <x:row r="10" ht="39" customHeight="1">
      <x:c r="A10" s="26" t="str">
        <x:v>2.5</x:v>
      </x:c>
      <x:c r="B10" s="41" t="str">
        <x:v>2. 本地环境与仓库基线</x:v>
      </x:c>
      <x:c r="C10" s="26" t="str">
        <x:v>Git、备份与迁移基线</x:v>
      </x:c>
      <x:c r="D10" s="26" t="str">
        <x:v>准备主题代码仓库、数据库备份方式、媒体目录备份与迁移演练入口。</x:v>
      </x:c>
      <x:c r="E10" s="26" t="str">
        <x:v>Dev / Infra</x:v>
      </x:c>
      <x:c r="F10" s="27" t="n">
        <x:v>46192</x:v>
      </x:c>
      <x:c r="G10" s="27" t="n">
        <x:v>46192</x:v>
      </x:c>
      <x:c r="H10" s="28" t="n">
        <x:v>1</x:v>
      </x:c>
      <x:c r="I10" s="26" t="str">
        <x:v>2.4</x:v>
      </x:c>
      <x:c r="J10" s="26" t="str">
        <x:v>仓库结构、备份脚本、迁移基线说明</x:v>
      </x:c>
      <x:c r="K10" s="26" t="str">
        <x:v>代码、数据库、媒体三类资产都可独立回滚。</x:v>
      </x:c>
      <x:c r="L10" s="26" t="str">
        <x:v>AI 生成迁移检查清单，人工补全回滚动作。</x:v>
      </x:c>
    </x:row>
    <x:row r="11" ht="39" customHeight="1">
      <x:c r="A11" s="26" t="str">
        <x:v>3.1</x:v>
      </x:c>
      <x:c r="B11" s="45" t="str">
        <x:v>3. 设计系统与数据模型</x:v>
      </x:c>
      <x:c r="C11" s="26" t="str">
        <x:v>子主题脚手架</x:v>
      </x:c>
      <x:c r="D11" s="26" t="str">
        <x:v>创建 panda-sensei-child，整理 assets、template-parts、inc 等目录。</x:v>
      </x:c>
      <x:c r="E11" s="26" t="str">
        <x:v>Dev</x:v>
      </x:c>
      <x:c r="F11" s="27" t="n">
        <x:v>46195</x:v>
      </x:c>
      <x:c r="G11" s="27" t="n">
        <x:v>46195</x:v>
      </x:c>
      <x:c r="H11" s="28" t="n">
        <x:v>1</x:v>
      </x:c>
      <x:c r="I11" s="26" t="str">
        <x:v>2.5</x:v>
      </x:c>
      <x:c r="J11" s="26" t="str">
        <x:v>子主题目录、functions.php、基础样式文件</x:v>
      </x:c>
      <x:c r="K11" s="26" t="str">
        <x:v>子主题可独立启用并正确继承父主题样式。</x:v>
      </x:c>
      <x:c r="L11" s="26" t="str">
        <x:v>AI 检查主题头信息、依赖引用与命名一致性。</x:v>
      </x:c>
    </x:row>
    <x:row r="12" ht="39" customHeight="1">
      <x:c r="A12" s="26" t="str">
        <x:v>3.2</x:v>
      </x:c>
      <x:c r="B12" s="45" t="str">
        <x:v>3. 设计系统与数据模型</x:v>
      </x:c>
      <x:c r="C12" s="26" t="str">
        <x:v>设计 Token 与排版系统</x:v>
      </x:c>
      <x:c r="D12" s="26" t="str">
        <x:v>把设计书的颜色、字体、间距、断点、按钮和卡片阴影写入 CSS 变量。</x:v>
      </x:c>
      <x:c r="E12" s="26" t="str">
        <x:v>Dev / Design</x:v>
      </x:c>
      <x:c r="F12" s="27" t="n">
        <x:v>46196</x:v>
      </x:c>
      <x:c r="G12" s="27" t="n">
        <x:v>46196</x:v>
      </x:c>
      <x:c r="H12" s="28" t="n">
        <x:v>1</x:v>
      </x:c>
      <x:c r="I12" s="26" t="str">
        <x:v>3.1</x:v>
      </x:c>
      <x:c r="J12" s="26" t="str">
        <x:v>style.css、CSS variables、排版规范表</x:v>
      </x:c>
      <x:c r="K12" s="26" t="str">
        <x:v>主色、辅助色、字体、容器宽度与设计书一致。</x:v>
      </x:c>
      <x:c r="L12" s="26" t="str">
        <x:v>AI 生成 token 草案，人工做视觉校准。</x:v>
      </x:c>
    </x:row>
    <x:row r="13" ht="39" customHeight="1">
      <x:c r="A13" s="26" t="str">
        <x:v>3.3</x:v>
      </x:c>
      <x:c r="B13" s="45" t="str">
        <x:v>3. 设计系统与数据模型</x:v>
      </x:c>
      <x:c r="C13" s="26" t="str">
        <x:v>Logo 与 Panda SVG 资产整理</x:v>
      </x:c>
      <x:c r="D13" s="26" t="str">
        <x:v>把 logo、teacher、thinking、peek、floating panda 等 SVG 和图片放入主题资源目录。</x:v>
      </x:c>
      <x:c r="E13" s="26" t="str">
        <x:v>Dev / Design</x:v>
      </x:c>
      <x:c r="F13" s="27" t="n">
        <x:v>46197</x:v>
      </x:c>
      <x:c r="G13" s="27" t="n">
        <x:v>46197</x:v>
      </x:c>
      <x:c r="H13" s="28" t="n">
        <x:v>1</x:v>
      </x:c>
      <x:c r="I13" s="26" t="str">
        <x:v>3.2</x:v>
      </x:c>
      <x:c r="J13" s="26" t="str">
        <x:v>assets/logo.svg、panda SVG 集合、资源命名表</x:v>
      </x:c>
      <x:c r="K13" s="26" t="str">
        <x:v>站点 logo、吉祥物与卡片插画都可被模板调用。</x:v>
      </x:c>
      <x:c r="L13" s="26" t="str">
        <x:v>AI 辅助检查资源尺寸、命名和透明背景问题。</x:v>
      </x:c>
    </x:row>
    <x:row r="14" ht="39" customHeight="1">
      <x:c r="A14" s="26" t="str">
        <x:v>3.4</x:v>
      </x:c>
      <x:c r="B14" s="45" t="str">
        <x:v>3. 设计系统与数据模型</x:v>
      </x:c>
      <x:c r="C14" s="26" t="str">
        <x:v>CPT、Taxonomy、ACF 字段设计</x:v>
      </x:c>
      <x:c r="D14" s="26" t="str">
        <x:v>注册 difficulty、topic、learning_path、daily_quiz 以及文章扩展字段与后台录入结构。</x:v>
      </x:c>
      <x:c r="E14" s="26" t="str">
        <x:v>Dev</x:v>
      </x:c>
      <x:c r="F14" s="27" t="n">
        <x:v>46198</x:v>
      </x:c>
      <x:c r="G14" s="27" t="n">
        <x:v>46199</x:v>
      </x:c>
      <x:c r="H14" s="28" t="n">
        <x:v>2</x:v>
      </x:c>
      <x:c r="I14" s="26" t="str">
        <x:v>3.3</x:v>
      </x:c>
      <x:c r="J14" s="26" t="str">
        <x:v>CPT/Taxonomy 代码、ACF 字段组、录入说明</x:v>
      </x:c>
      <x:c r="K14" s="26" t="str">
        <x:v>后台可创建并维护难度、主题、学习路径和每日一问。</x:v>
      </x:c>
      <x:c r="L14" s="26" t="str">
        <x:v>AI 先生成字段清单，再由人工映射到 WordPress 后台。</x:v>
      </x:c>
    </x:row>
    <x:row r="15" ht="39" customHeight="1">
      <x:c r="A15" s="26" t="str">
        <x:v>4.1</x:v>
      </x:c>
      <x:c r="B15" s="49" t="str">
        <x:v>4. 全局布局与文章系统</x:v>
      </x:c>
      <x:c r="C15" s="26" t="str">
        <x:v>Header / Footer / 全局导航</x:v>
      </x:c>
      <x:c r="D15" s="26" t="str">
        <x:v>用 Kadence Header/Footer Builder 搭建导航、搜索、CTA、移动菜单和页脚四栏。</x:v>
      </x:c>
      <x:c r="E15" s="26" t="str">
        <x:v>Dev</x:v>
      </x:c>
      <x:c r="F15" s="27" t="n">
        <x:v>46202</x:v>
      </x:c>
      <x:c r="G15" s="27" t="n">
        <x:v>46202</x:v>
      </x:c>
      <x:c r="H15" s="28" t="n">
        <x:v>1</x:v>
      </x:c>
      <x:c r="I15" s="26" t="str">
        <x:v>3.4</x:v>
      </x:c>
      <x:c r="J15" s="26" t="str">
        <x:v>Header、Footer、菜单结构、移动端导航截图</x:v>
      </x:c>
      <x:c r="K15" s="26" t="str">
        <x:v>PC 与手机端都能正常导航，CTA 与搜索可用。</x:v>
      </x:c>
      <x:c r="L15" s="26" t="str">
        <x:v>AI 辅助生成菜单信息架构，人工检查层级。</x:v>
      </x:c>
    </x:row>
    <x:row r="16" ht="39" customHeight="1">
      <x:c r="A16" s="26" t="str">
        <x:v>4.2</x:v>
      </x:c>
      <x:c r="B16" s="49" t="str">
        <x:v>4. 全局布局与文章系统</x:v>
      </x:c>
      <x:c r="C16" s="26" t="str">
        <x:v>Single Post 模板与 TOC</x:v>
      </x:c>
      <x:c r="D16" s="26" t="str">
        <x:v>搭建右侧目录、作者信息、封面区、正文容器和 Sticky TOC。</x:v>
      </x:c>
      <x:c r="E16" s="26" t="str">
        <x:v>Dev</x:v>
      </x:c>
      <x:c r="F16" s="27" t="n">
        <x:v>46203</x:v>
      </x:c>
      <x:c r="G16" s="27" t="n">
        <x:v>46203</x:v>
      </x:c>
      <x:c r="H16" s="28" t="n">
        <x:v>1</x:v>
      </x:c>
      <x:c r="I16" s="26" t="str">
        <x:v>4.1</x:v>
      </x:c>
      <x:c r="J16" s="26" t="str">
        <x:v>single post 模板、目录区、样例文章页面</x:v>
      </x:c>
      <x:c r="K16" s="26" t="str">
        <x:v>H2/H3 自动生成目录，文章页主结构完成。</x:v>
      </x:c>
      <x:c r="L16" s="26" t="str">
        <x:v>AI 对照设计稿做 DOM 与间距检查。</x:v>
      </x:c>
    </x:row>
    <x:row r="17" ht="39" customHeight="1">
      <x:c r="A17" s="26" t="str">
        <x:v>4.3</x:v>
      </x:c>
      <x:c r="B17" s="49" t="str">
        <x:v>4. 全局布局与文章系统</x:v>
      </x:c>
      <x:c r="C17" s="26" t="str">
        <x:v>Panda / Student Dialog 区块</x:v>
      </x:c>
      <x:c r="D17" s="26" t="str">
        <x:v>实现 Panda Dialog 与 Student Dialog 区块，支持编辑器中插入气泡对话。</x:v>
      </x:c>
      <x:c r="E17" s="26" t="str">
        <x:v>Dev</x:v>
      </x:c>
      <x:c r="F17" s="27" t="n">
        <x:v>46204</x:v>
      </x:c>
      <x:c r="G17" s="27" t="n">
        <x:v>46204</x:v>
      </x:c>
      <x:c r="H17" s="28" t="n">
        <x:v>1</x:v>
      </x:c>
      <x:c r="I17" s="26" t="str">
        <x:v>4.2</x:v>
      </x:c>
      <x:c r="J17" s="26" t="str">
        <x:v>对话区块、后台插入方式说明、样例正文</x:v>
      </x:c>
      <x:c r="K17" s="26" t="str">
        <x:v>编辑器可插入两种角色气泡，前台样式正确。</x:v>
      </x:c>
      <x:c r="L17" s="26" t="str">
        <x:v>AI 生成区块文案样例并辅助检查前台样式。</x:v>
      </x:c>
    </x:row>
    <x:row r="18" ht="39" customHeight="1">
      <x:c r="A18" s="26" t="str">
        <x:v>4.4</x:v>
      </x:c>
      <x:c r="B18" s="49" t="str">
        <x:v>4. 全局布局与文章系统</x:v>
      </x:c>
      <x:c r="C18" s="26" t="str">
        <x:v>Callout、Reaction、相关文章</x:v>
      </x:c>
      <x:c r="D18" s="26" t="str">
        <x:v>实现提示框、警告框、文章末尾反馈按钮与同类文章推荐。</x:v>
      </x:c>
      <x:c r="E18" s="26" t="str">
        <x:v>Dev</x:v>
      </x:c>
      <x:c r="F18" s="27" t="n">
        <x:v>46205</x:v>
      </x:c>
      <x:c r="G18" s="27" t="n">
        <x:v>46205</x:v>
      </x:c>
      <x:c r="H18" s="28" t="n">
        <x:v>1</x:v>
      </x:c>
      <x:c r="I18" s="26" t="str">
        <x:v>4.3</x:v>
      </x:c>
      <x:c r="J18" s="26" t="str">
        <x:v>Callout 组件、Reaction 区、Related Posts 区</x:v>
      </x:c>
      <x:c r="K18" s="26" t="str">
        <x:v>提示框样式正确，反馈区与相关文章可显示。</x:v>
      </x:c>
      <x:c r="L18" s="26" t="str">
        <x:v>AI 辅助生成边界案例并回归文章页。</x:v>
      </x:c>
    </x:row>
    <x:row r="19" ht="39" customHeight="1">
      <x:c r="A19" s="26" t="str">
        <x:v>4.5</x:v>
      </x:c>
      <x:c r="B19" s="49" t="str">
        <x:v>4. 全局布局与文章系统</x:v>
      </x:c>
      <x:c r="C19" s="26" t="str">
        <x:v>样例文章与封面素材</x:v>
      </x:c>
      <x:c r="D19" s="26" t="str">
        <x:v>导入 5 篇样例文章并准备 9 个模块占位封面或 SVG 封面。</x:v>
      </x:c>
      <x:c r="E19" s="26" t="str">
        <x:v>Content / AI</x:v>
      </x:c>
      <x:c r="F19" s="27" t="n">
        <x:v>46206</x:v>
      </x:c>
      <x:c r="G19" s="27" t="n">
        <x:v>46206</x:v>
      </x:c>
      <x:c r="H19" s="28" t="n">
        <x:v>1</x:v>
      </x:c>
      <x:c r="I19" s="26" t="str">
        <x:v>4.4</x:v>
      </x:c>
      <x:c r="J19" s="26" t="str">
        <x:v>5 篇样例文章、封面素材包、文章截图</x:v>
      </x:c>
      <x:c r="K19" s="26" t="str">
        <x:v>文章页可完整演示目录、气泡、提示框与推荐区。</x:v>
      </x:c>
      <x:c r="L19" s="26" t="str">
        <x:v>AI 生成初稿内容与摘要，人工做术语校正。</x:v>
      </x:c>
    </x:row>
    <x:row r="20" ht="39" customHeight="1">
      <x:c r="A20" s="26" t="str">
        <x:v>5.1</x:v>
      </x:c>
      <x:c r="B20" s="53" t="str">
        <x:v>5. 分类页与筛选系统</x:v>
      </x:c>
      <x:c r="C20" s="26" t="str">
        <x:v>Category Hero 模板</x:v>
      </x:c>
      <x:c r="D20" s="26" t="str">
        <x:v>开发 category hero，左侧说明文字、右侧 Panda Thinking 视觉和数据统计卡。</x:v>
      </x:c>
      <x:c r="E20" s="26" t="str">
        <x:v>Dev</x:v>
      </x:c>
      <x:c r="F20" s="27" t="n">
        <x:v>46209</x:v>
      </x:c>
      <x:c r="G20" s="27" t="n">
        <x:v>46209</x:v>
      </x:c>
      <x:c r="H20" s="28" t="n">
        <x:v>1</x:v>
      </x:c>
      <x:c r="I20" s="26" t="str">
        <x:v>4.5</x:v>
      </x:c>
      <x:c r="J20" s="26" t="str">
        <x:v>category hero 模板、模块说明区、视觉区</x:v>
      </x:c>
      <x:c r="K20" s="26" t="str">
        <x:v>分类页头部与设计书布局一致。</x:v>
      </x:c>
      <x:c r="L20" s="26" t="str">
        <x:v>AI 输出文案初稿并检查文案长度。</x:v>
      </x:c>
    </x:row>
    <x:row r="21" ht="39" customHeight="1">
      <x:c r="A21" s="26" t="str">
        <x:v>5.2</x:v>
      </x:c>
      <x:c r="B21" s="53" t="str">
        <x:v>5. 分类页与筛选系统</x:v>
      </x:c>
      <x:c r="C21" s="26" t="str">
        <x:v>difficulty / topic 筛选</x:v>
      </x:c>
      <x:c r="D21" s="26" t="str">
        <x:v>用 FacetWP 或替代插件实现难度和主题筛选，并验证 URL 与重置逻辑。</x:v>
      </x:c>
      <x:c r="E21" s="26" t="str">
        <x:v>Dev</x:v>
      </x:c>
      <x:c r="F21" s="27" t="n">
        <x:v>46210</x:v>
      </x:c>
      <x:c r="G21" s="27" t="n">
        <x:v>46210</x:v>
      </x:c>
      <x:c r="H21" s="28" t="n">
        <x:v>1</x:v>
      </x:c>
      <x:c r="I21" s="26" t="str">
        <x:v>5.1</x:v>
      </x:c>
      <x:c r="J21" s="26" t="str">
        <x:v>筛选器、查询结果区、状态说明</x:v>
      </x:c>
      <x:c r="K21" s="26" t="str">
        <x:v>可按难度和主题联动筛选，结果数量正确。</x:v>
      </x:c>
      <x:c r="L21" s="26" t="str">
        <x:v>AI 列出筛选测试用例并协助检查空结果场景。</x:v>
      </x:c>
    </x:row>
    <x:row r="22" ht="39" customHeight="1">
      <x:c r="A22" s="26" t="str">
        <x:v>5.3</x:v>
      </x:c>
      <x:c r="B22" s="53" t="str">
        <x:v>5. 分类页与筛选系统</x:v>
      </x:c>
      <x:c r="C22" s="26" t="str">
        <x:v>卡片列表、排序与分页</x:v>
      </x:c>
      <x:c r="D22" s="26" t="str">
        <x:v>实现文章卡片网格、发布日期/热门/难度排序与分页或加载更多。</x:v>
      </x:c>
      <x:c r="E22" s="26" t="str">
        <x:v>Dev</x:v>
      </x:c>
      <x:c r="F22" s="27" t="n">
        <x:v>46211</x:v>
      </x:c>
      <x:c r="G22" s="27" t="n">
        <x:v>46211</x:v>
      </x:c>
      <x:c r="H22" s="28" t="n">
        <x:v>1</x:v>
      </x:c>
      <x:c r="I22" s="26" t="str">
        <x:v>5.2</x:v>
      </x:c>
      <x:c r="J22" s="26" t="str">
        <x:v>卡片网格、排序控件、分页区</x:v>
      </x:c>
      <x:c r="K22" s="26" t="str">
        <x:v>2 列卡片与 hover 交互可用，分页正常。</x:v>
      </x:c>
      <x:c r="L22" s="26" t="str">
        <x:v>AI 生成排序场景，人工验证热门与新着逻辑。</x:v>
      </x:c>
    </x:row>
    <x:row r="23" ht="39" customHeight="1">
      <x:c r="A23" s="26" t="str">
        <x:v>5.4</x:v>
      </x:c>
      <x:c r="B23" s="53" t="str">
        <x:v>5. 分类页与筛选系统</x:v>
      </x:c>
      <x:c r="C23" s="26" t="str">
        <x:v>移动端 Drawer 与响应式修正</x:v>
      </x:c>
      <x:c r="D23" s="26" t="str">
        <x:v>把侧边筛选改为移动端 Drawer，修正平板与手机下的留白、字号与点击区域。</x:v>
      </x:c>
      <x:c r="E23" s="26" t="str">
        <x:v>Dev / QA</x:v>
      </x:c>
      <x:c r="F23" s="27" t="n">
        <x:v>46212</x:v>
      </x:c>
      <x:c r="G23" s="27" t="n">
        <x:v>46213</x:v>
      </x:c>
      <x:c r="H23" s="28" t="n">
        <x:v>2</x:v>
      </x:c>
      <x:c r="I23" s="26" t="str">
        <x:v>5.3</x:v>
      </x:c>
      <x:c r="J23" s="26" t="str">
        <x:v>移动端筛选抽屉、响应式修正记录、对比截图</x:v>
      </x:c>
      <x:c r="K23" s="26" t="str">
        <x:v>手机端可顺畅筛选，布局无明显溢出与错位。</x:v>
      </x:c>
      <x:c r="L23" s="26" t="str">
        <x:v>AI 辅助列出断点截图清单并做视觉回归。</x:v>
      </x:c>
    </x:row>
    <x:row r="24" ht="39" customHeight="1">
      <x:c r="A24" s="26" t="str">
        <x:v>6.1</x:v>
      </x:c>
      <x:c r="B24" s="57" t="str">
        <x:v>6. 首页核心模块开发</x:v>
      </x:c>
      <x:c r="C24" s="26" t="str">
        <x:v>Front Page 模板与 Hero</x:v>
      </x:c>
      <x:c r="D24" s="26" t="str">
        <x:v>实现首页模板、Hero、黑板视觉、双按钮、统计数字和主视觉动画基础。</x:v>
      </x:c>
      <x:c r="E24" s="26" t="str">
        <x:v>Dev / Design</x:v>
      </x:c>
      <x:c r="F24" s="27" t="n">
        <x:v>46216</x:v>
      </x:c>
      <x:c r="G24" s="27" t="n">
        <x:v>46217</x:v>
      </x:c>
      <x:c r="H24" s="28" t="n">
        <x:v>2</x:v>
      </x:c>
      <x:c r="I24" s="26" t="str">
        <x:v>5.4</x:v>
      </x:c>
      <x:c r="J24" s="26" t="str">
        <x:v>front-page.php、Hero 区、主视觉截图</x:v>
      </x:c>
      <x:c r="K24" s="26" t="str">
        <x:v>首页首屏与设计稿核心结构一致，按钮可跳转。</x:v>
      </x:c>
      <x:c r="L24" s="26" t="str">
        <x:v>AI 比对 Hero 文案、层级与主视觉元素位置。</x:v>
      </x:c>
    </x:row>
    <x:row r="25" ht="39" customHeight="1">
      <x:c r="A25" s="26" t="str">
        <x:v>6.2</x:v>
      </x:c>
      <x:c r="B25" s="57" t="str">
        <x:v>6. 首页核心模块开发</x:v>
      </x:c>
      <x:c r="C25" s="26" t="str">
        <x:v>9 模块卡片区</x:v>
      </x:c>
      <x:c r="D25" s="26" t="str">
        <x:v>完成 9 张模块卡片、标签、统计、悬停效果和链接结构。</x:v>
      </x:c>
      <x:c r="E25" s="26" t="str">
        <x:v>Dev</x:v>
      </x:c>
      <x:c r="F25" s="27" t="n">
        <x:v>46218</x:v>
      </x:c>
      <x:c r="G25" s="27" t="n">
        <x:v>46218</x:v>
      </x:c>
      <x:c r="H25" s="28" t="n">
        <x:v>1</x:v>
      </x:c>
      <x:c r="I25" s="26" t="str">
        <x:v>6.1</x:v>
      </x:c>
      <x:c r="J25" s="26" t="str">
        <x:v>9 模块卡片区、卡片样式与链接</x:v>
      </x:c>
      <x:c r="K25" s="26" t="str">
        <x:v>9 个模块卡片全部可展示并跳转到对应模块页。</x:v>
      </x:c>
      <x:c r="L25" s="26" t="str">
        <x:v>AI 检查卡片文案长度、标签层级和 hover 说明。</x:v>
      </x:c>
    </x:row>
    <x:row r="26" ht="39" customHeight="1">
      <x:c r="A26" s="26" t="str">
        <x:v>6.3</x:v>
      </x:c>
      <x:c r="B26" s="57" t="str">
        <x:v>6. 首页核心模块开发</x:v>
      </x:c>
      <x:c r="C26" s="26" t="str">
        <x:v>Learning Path 模块</x:v>
      </x:c>
      <x:c r="D26" s="26" t="str">
        <x:v>实现 learning_path 内容模型、区块模板、步骤列表与 CTA。</x:v>
      </x:c>
      <x:c r="E26" s="26" t="str">
        <x:v>Dev</x:v>
      </x:c>
      <x:c r="F26" s="27" t="n">
        <x:v>46219</x:v>
      </x:c>
      <x:c r="G26" s="27" t="n">
        <x:v>46219</x:v>
      </x:c>
      <x:c r="H26" s="28" t="n">
        <x:v>1</x:v>
      </x:c>
      <x:c r="I26" s="26" t="str">
        <x:v>6.2</x:v>
      </x:c>
      <x:c r="J26" s="26" t="str">
        <x:v>learning_path CPT、前台模块、样例数据</x:v>
      </x:c>
      <x:c r="K26" s="26" t="str">
        <x:v>至少 3 条学习路径可在首页展示并后台维护。</x:v>
      </x:c>
      <x:c r="L26" s="26" t="str">
        <x:v>AI 生成学习路径标题与步骤初稿，人工调整课程逻辑。</x:v>
      </x:c>
    </x:row>
    <x:row r="27" ht="39" customHeight="1">
      <x:c r="A27" s="26" t="str">
        <x:v>6.4</x:v>
      </x:c>
      <x:c r="B27" s="57" t="str">
        <x:v>6. 首页核心模块开发</x:v>
      </x:c>
      <x:c r="C27" s="26" t="str">
        <x:v>Daily Quiz 模块</x:v>
      </x:c>
      <x:c r="D27" s="26" t="str">
        <x:v>实现 daily_quiz 字段、题目切换逻辑、答案反馈和解释说明。</x:v>
      </x:c>
      <x:c r="E27" s="26" t="str">
        <x:v>Dev</x:v>
      </x:c>
      <x:c r="F27" s="27" t="n">
        <x:v>46220</x:v>
      </x:c>
      <x:c r="G27" s="27" t="n">
        <x:v>46220</x:v>
      </x:c>
      <x:c r="H27" s="28" t="n">
        <x:v>1</x:v>
      </x:c>
      <x:c r="I27" s="26" t="str">
        <x:v>6.3</x:v>
      </x:c>
      <x:c r="J27" s="26" t="str">
        <x:v>Quiz 模块、题库样例、交互脚本</x:v>
      </x:c>
      <x:c r="K27" s="26" t="str">
        <x:v>可答题、看结果并展示正确答案与解释。</x:v>
      </x:c>
      <x:c r="L27" s="26" t="str">
        <x:v>AI 辅助生成题干与解释，人工做 SAP 内容核对。</x:v>
      </x:c>
    </x:row>
    <x:row r="28" ht="39" customHeight="1">
      <x:c r="A28" s="26" t="str">
        <x:v>6.5</x:v>
      </x:c>
      <x:c r="B28" s="57" t="str">
        <x:v>6. 首页核心模块开发</x:v>
      </x:c>
      <x:c r="C28" s="26" t="str">
        <x:v>新着、热门、YouTube、Newsletter</x:v>
      </x:c>
      <x:c r="D28" s="26" t="str">
        <x:v>实现最新文章、热门排行、视频区和订阅区，并接好样例内容。</x:v>
      </x:c>
      <x:c r="E28" s="26" t="str">
        <x:v>Dev / Content</x:v>
      </x:c>
      <x:c r="F28" s="27" t="n">
        <x:v>46223</x:v>
      </x:c>
      <x:c r="G28" s="27" t="n">
        <x:v>46224</x:v>
      </x:c>
      <x:c r="H28" s="28" t="n">
        <x:v>2</x:v>
      </x:c>
      <x:c r="I28" s="26" t="str">
        <x:v>6.4</x:v>
      </x:c>
      <x:c r="J28" s="26" t="str">
        <x:v>文章列表区、Top10、视频区、订阅区</x:v>
      </x:c>
      <x:c r="K28" s="26" t="str">
        <x:v>首页主要内容模块全部贯通，具备完整演示能力。</x:v>
      </x:c>
      <x:c r="L28" s="26" t="str">
        <x:v>AI 辅助检查首页完整性并补齐演示内容。</x:v>
      </x:c>
    </x:row>
    <x:row r="29" ht="39" customHeight="1">
      <x:c r="A29" s="26" t="str">
        <x:v>7.1</x:v>
      </x:c>
      <x:c r="B29" s="61" t="str">
        <x:v>7. 内容填充与质量保证</x:v>
      </x:c>
      <x:c r="C29" s="26" t="str">
        <x:v>样例内容批量填充</x:v>
      </x:c>
      <x:c r="D29" s="26" t="str">
        <x:v>补充文章、学习路径、Quiz、YouTube 和 About 页面基础内容。</x:v>
      </x:c>
      <x:c r="E29" s="26" t="str">
        <x:v>Content / AI</x:v>
      </x:c>
      <x:c r="F29" s="27" t="n">
        <x:v>46225</x:v>
      </x:c>
      <x:c r="G29" s="27" t="n">
        <x:v>46225</x:v>
      </x:c>
      <x:c r="H29" s="28" t="n">
        <x:v>1</x:v>
      </x:c>
      <x:c r="I29" s="26" t="str">
        <x:v>6.5</x:v>
      </x:c>
      <x:c r="J29" s="26" t="str">
        <x:v>内容清单、样例页面、媒体素材表</x:v>
      </x:c>
      <x:c r="K29" s="26" t="str">
        <x:v>关键页面不再为空，演示路径完整。</x:v>
      </x:c>
      <x:c r="L29" s="26" t="str">
        <x:v>AI 生成正文草稿、摘要和 SEO 初稿，人工审稿。</x:v>
      </x:c>
    </x:row>
    <x:row r="30" ht="39" customHeight="1">
      <x:c r="A30" s="26" t="str">
        <x:v>7.2</x:v>
      </x:c>
      <x:c r="B30" s="61" t="str">
        <x:v>7. 内容填充与质量保证</x:v>
      </x:c>
      <x:c r="C30" s="26" t="str">
        <x:v>AI 生成与测试记录归档</x:v>
      </x:c>
      <x:c r="D30" s="26" t="str">
        <x:v>整理提示词、生成结果、被采用内容、被否决内容和测试脚本。</x:v>
      </x:c>
      <x:c r="E30" s="26" t="str">
        <x:v>PM / QA</x:v>
      </x:c>
      <x:c r="F30" s="27" t="n">
        <x:v>46226</x:v>
      </x:c>
      <x:c r="G30" s="27" t="n">
        <x:v>46226</x:v>
      </x:c>
      <x:c r="H30" s="28" t="n">
        <x:v>1</x:v>
      </x:c>
      <x:c r="I30" s="26" t="str">
        <x:v>7.1</x:v>
      </x:c>
      <x:c r="J30" s="26" t="str">
        <x:v>Prompt 日志、测试脚本、修正记录</x:v>
      </x:c>
      <x:c r="K30" s="26" t="str">
        <x:v>可追溯哪些内容由 AI 生成、如何验证与修正。</x:v>
      </x:c>
      <x:c r="L30" s="26" t="str">
        <x:v>归档 prompt、输出版本与人工修改说明。</x:v>
      </x:c>
    </x:row>
    <x:row r="31" ht="39" customHeight="1">
      <x:c r="A31" s="26" t="str">
        <x:v>7.3</x:v>
      </x:c>
      <x:c r="B31" s="61" t="str">
        <x:v>7. 内容填充与质量保证</x:v>
      </x:c>
      <x:c r="C31" s="26" t="str">
        <x:v>功能回归与缺陷修复</x:v>
      </x:c>
      <x:c r="D31" s="26" t="str">
        <x:v>执行文章、分类、首页、搜索、菜单、订阅和 Quiz 的主流程回归测试。</x:v>
      </x:c>
      <x:c r="E31" s="26" t="str">
        <x:v>QA / Dev</x:v>
      </x:c>
      <x:c r="F31" s="27" t="n">
        <x:v>46227</x:v>
      </x:c>
      <x:c r="G31" s="27" t="n">
        <x:v>46227</x:v>
      </x:c>
      <x:c r="H31" s="28" t="n">
        <x:v>1</x:v>
      </x:c>
      <x:c r="I31" s="26" t="str">
        <x:v>7.2</x:v>
      </x:c>
      <x:c r="J31" s="26" t="str">
        <x:v>测试报告、缺陷清单、修复记录</x:v>
      </x:c>
      <x:c r="K31" s="26" t="str">
        <x:v>阻塞级缺陷为 0，主流程通过。</x:v>
      </x:c>
      <x:c r="L31" s="26" t="str">
        <x:v>AI 生成测试用例矩阵，人工执行并记录结果。</x:v>
      </x:c>
    </x:row>
    <x:row r="32" ht="39" customHeight="1">
      <x:c r="A32" s="26" t="str">
        <x:v>7.4</x:v>
      </x:c>
      <x:c r="B32" s="61" t="str">
        <x:v>7. 内容填充与质量保证</x:v>
      </x:c>
      <x:c r="C32" s="26" t="str">
        <x:v>响应式、性能、SEO、可访问性</x:v>
      </x:c>
      <x:c r="D32" s="26" t="str">
        <x:v>完成多端检查、图片优化、缓存、meta 信息、OG 图、alt 与对比度检查。</x:v>
      </x:c>
      <x:c r="E32" s="26" t="str">
        <x:v>QA / Dev</x:v>
      </x:c>
      <x:c r="F32" s="27" t="n">
        <x:v>46230</x:v>
      </x:c>
      <x:c r="G32" s="27" t="n">
        <x:v>46231</x:v>
      </x:c>
      <x:c r="H32" s="28" t="n">
        <x:v>2</x:v>
      </x:c>
      <x:c r="I32" s="26" t="str">
        <x:v>7.3</x:v>
      </x:c>
      <x:c r="J32" s="26" t="str">
        <x:v>Lighthouse 报告、SEO 清单、无障碍检查表</x:v>
      </x:c>
      <x:c r="K32" s="26" t="str">
        <x:v>移动端与桌面端通过关键检查，Lighthouse 以 90+ 为目标。</x:v>
      </x:c>
      <x:c r="L32" s="26" t="str">
        <x:v>AI 辅助解释评分项与生成修正建议，人工落地。</x:v>
      </x:c>
    </x:row>
    <x:row r="33" ht="39" customHeight="1">
      <x:c r="A33" s="26" t="str">
        <x:v>8.1</x:v>
      </x:c>
      <x:c r="B33" s="65" t="str">
        <x:v>8. 迁移演练与 IP 发布</x:v>
      </x:c>
      <x:c r="C33" s="26" t="str">
        <x:v>本地备份与迁移演练</x:v>
      </x:c>
      <x:c r="D33" s="26" t="str">
        <x:v>导出数据库、媒体、主题与插件配置，并在干净环境做一次恢复验证。</x:v>
      </x:c>
      <x:c r="E33" s="26" t="str">
        <x:v>Dev / Infra</x:v>
      </x:c>
      <x:c r="F33" s="27" t="n">
        <x:v>46232</x:v>
      </x:c>
      <x:c r="G33" s="27" t="n">
        <x:v>46232</x:v>
      </x:c>
      <x:c r="H33" s="28" t="n">
        <x:v>1</x:v>
      </x:c>
      <x:c r="I33" s="26" t="str">
        <x:v>7.4</x:v>
      </x:c>
      <x:c r="J33" s="26" t="str">
        <x:v>备份包、数据库导出、迁移 SOP、回滚方案</x:v>
      </x:c>
      <x:c r="K33" s="26" t="str">
        <x:v>在独立环境可成功恢复，站点可访问。</x:v>
      </x:c>
      <x:c r="L33" s="26" t="str">
        <x:v>AI 生成迁移步骤草案，人工验证替换项。</x:v>
      </x:c>
    </x:row>
    <x:row r="34" ht="39" customHeight="1">
      <x:c r="A34" s="26" t="str">
        <x:v>8.2</x:v>
      </x:c>
      <x:c r="B34" s="65" t="str">
        <x:v>8. 迁移演练与 IP 发布</x:v>
      </x:c>
      <x:c r="C34" s="26" t="str">
        <x:v>服务器部署与 IP 发布</x:v>
      </x:c>
      <x:c r="D34" s="26" t="str">
        <x:v>部署 WordPress、数据库与 Web 服务，完成 URL/IP 配置、上传目录与权限设置。</x:v>
      </x:c>
      <x:c r="E34" s="26" t="str">
        <x:v>Infra / Dev</x:v>
      </x:c>
      <x:c r="F34" s="27" t="n">
        <x:v>46233</x:v>
      </x:c>
      <x:c r="G34" s="27" t="n">
        <x:v>46233</x:v>
      </x:c>
      <x:c r="H34" s="28" t="n">
        <x:v>1</x:v>
      </x:c>
      <x:c r="I34" s="26" t="str">
        <x:v>8.1</x:v>
      </x:c>
      <x:c r="J34" s="26" t="str">
        <x:v>服务器部署记录、上线 IP、账号权限表</x:v>
      </x:c>
      <x:c r="K34" s="26" t="str">
        <x:v>通过公网 IP 可访问首页、分类页、文章页与后台。</x:v>
      </x:c>
      <x:c r="L34" s="26" t="str">
        <x:v>AI 辅助整理部署命令和验证项，人工执行。</x:v>
      </x:c>
    </x:row>
    <x:row r="35" ht="39" customHeight="1">
      <x:c r="A35" s="26" t="str">
        <x:v>8.3</x:v>
      </x:c>
      <x:c r="B35" s="65" t="str">
        <x:v>8. 迁移演练与 IP 发布</x:v>
      </x:c>
      <x:c r="C35" s="26" t="str">
        <x:v>公网冒烟测试与交接</x:v>
      </x:c>
      <x:c r="D35" s="26" t="str">
        <x:v>完成上线后冒烟测试、交付说明、运维清单与后续优化待办。</x:v>
      </x:c>
      <x:c r="E35" s="26" t="str">
        <x:v>PM / QA</x:v>
      </x:c>
      <x:c r="F35" s="27" t="n">
        <x:v>46234</x:v>
      </x:c>
      <x:c r="G35" s="27" t="n">
        <x:v>46234</x:v>
      </x:c>
      <x:c r="H35" s="28" t="n">
        <x:v>1</x:v>
      </x:c>
      <x:c r="I35" s="26" t="str">
        <x:v>8.2</x:v>
      </x:c>
      <x:c r="J35" s="26" t="str">
        <x:v>上线验收单、运维手册、后续 Backlog</x:v>
      </x:c>
      <x:c r="K35" s="26" t="str">
        <x:v>公网访问正常，交接资料齐全，验收可签字。</x:v>
      </x:c>
      <x:c r="L35" s="26" t="str">
        <x:v>AI 协助整理交付说明和后续待办列表。</x:v>
      </x:c>
    </x:row>
  </x:sheetData>
  <x:pageMargins left="0.7" right="0.7" top="0.75" bottom="0.75" header="0.3" footer="0.3"/>
  <x:tableParts count="1">
    <x:tablePart xmlns:r="http://schemas.openxmlformats.org/officeDocument/2006/relationships" r:id="R62a5ec5bcc454af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78000020980835" hidden="0" customWidth="1"/>
    <x:col min="2" max="2" width="16.670000076293945" hidden="0" customWidth="1"/>
    <x:col min="3" max="3" width="21.110000610351562" hidden="0" customWidth="1"/>
    <x:col min="4" max="4" width="24.440000534057617" hidden="0" customWidth="1"/>
    <x:col min="5" max="5" width="11.109999656677246" hidden="0" customWidth="1"/>
    <x:col min="6" max="6" width="11.109999656677246" hidden="0" customWidth="1"/>
    <x:col min="7" max="7" width="6.670000076293945" hidden="0" customWidth="1"/>
    <x:col min="8" max="8" width="6.670000076293945" hidden="0" customWidth="1"/>
    <x:col min="9" max="9" width="6.670000076293945" hidden="0" customWidth="1"/>
    <x:col min="10" max="10" width="8.4399995803833" hidden="0" customWidth="1"/>
    <x:col min="11" max="11" width="8.4399995803833" hidden="0" customWidth="1"/>
    <x:col min="12" max="12" width="8.4399995803833" hidden="0" customWidth="1"/>
    <x:col min="13" max="13" width="8.4399995803833" hidden="0" customWidth="1"/>
    <x:col min="14" max="14" width="8.4399995803833" hidden="0" customWidth="1"/>
    <x:col min="15" max="15" width="8.4399995803833" hidden="0" customWidth="1"/>
    <x:col min="16" max="16" width="8.4399995803833" hidden="0" customWidth="1"/>
    <x:col min="17" max="17" width="8.4399995803833" hidden="0" customWidth="1"/>
  </x:cols>
  <x:sheetData>
    <x:row r="1" ht="24" customHeight="1">
      <x:c r="A1" s="68" t="str">
        <x:v>SAP Navi WordPress Delivery Gantt</x:v>
      </x:c>
      <x:c r="B1" s="68"/>
      <x:c r="C1" s="68"/>
      <x:c r="D1" s="68"/>
      <x:c r="E1" s="68"/>
      <x:c r="F1" s="68"/>
      <x:c r="G1" s="68"/>
      <x:c r="H1" s="68"/>
      <x:c r="I1" s="68"/>
      <x:c r="J1" s="68"/>
      <x:c r="K1" s="68"/>
      <x:c r="L1" s="68"/>
      <x:c r="M1" s="68"/>
      <x:c r="N1" s="68"/>
      <x:c r="O1" s="68"/>
      <x:c r="P1" s="68"/>
      <x:c r="Q1" s="68"/>
    </x:row>
    <x:row r="3">
      <x:c r="A3" s="73" t="str">
        <x:v>Kickoff</x:v>
      </x:c>
      <x:c r="B3" s="76" t="n">
        <x:v>46181</x:v>
      </x:c>
    </x:row>
    <x:row r="4" ht="25.5" customHeight="1">
      <x:c r="A4" s="73" t="str">
        <x:v>Go Live</x:v>
      </x:c>
      <x:c r="B4" s="76" t="n">
        <x:v>46234</x:v>
      </x:c>
      <x:c r="J4" s="81" t="n">
        <x:v>1</x:v>
      </x:c>
      <x:c r="K4" s="81" t="n">
        <x:v>2</x:v>
      </x:c>
      <x:c r="L4" s="81" t="n">
        <x:v>3</x:v>
      </x:c>
      <x:c r="M4" s="81" t="n">
        <x:v>4</x:v>
      </x:c>
      <x:c r="N4" s="81" t="n">
        <x:v>5</x:v>
      </x:c>
      <x:c r="O4" s="81" t="n">
        <x:v>6</x:v>
      </x:c>
      <x:c r="P4" s="81" t="n">
        <x:v>7</x:v>
      </x:c>
      <x:c r="Q4" s="81" t="n">
        <x:v>8</x:v>
      </x:c>
    </x:row>
    <x:row r="5" ht="25.5" customHeight="1">
      <x:c r="A5" s="22" t="str">
        <x:v>WBS</x:v>
      </x:c>
      <x:c r="B5" s="22" t="str">
        <x:v>Phase</x:v>
      </x:c>
      <x:c r="C5" s="22" t="str">
        <x:v>Task</x:v>
      </x:c>
      <x:c r="D5" s="22" t="str">
        <x:v>Deliverable</x:v>
      </x:c>
      <x:c r="E5" s="22" t="str">
        <x:v>Start</x:v>
      </x:c>
      <x:c r="F5" s="22" t="str">
        <x:v>End</x:v>
      </x:c>
      <x:c r="G5" s="22" t="str">
        <x:v>Days</x:v>
      </x:c>
      <x:c r="H5" s="22" t="str">
        <x:v>StartW</x:v>
      </x:c>
      <x:c r="I5" s="22" t="str">
        <x:v>EndW</x:v>
      </x:c>
      <x:c r="J5" s="81" t="str">
        <x:v>W1
06/08-06/12</x:v>
      </x:c>
      <x:c r="K5" s="81" t="str">
        <x:v>W2
06/15-06/19</x:v>
      </x:c>
      <x:c r="L5" s="81" t="str">
        <x:v>W3
06/22-06/26</x:v>
      </x:c>
      <x:c r="M5" s="81" t="str">
        <x:v>W4
06/29-07/03</x:v>
      </x:c>
      <x:c r="N5" s="81" t="str">
        <x:v>W5
07/06-07/10</x:v>
      </x:c>
      <x:c r="O5" s="81" t="str">
        <x:v>W6
07/13-07/17</x:v>
      </x:c>
      <x:c r="P5" s="81" t="str">
        <x:v>W7
07/20-07/24</x:v>
      </x:c>
      <x:c r="Q5" s="81" t="str">
        <x:v>W8
07/27-07/31</x:v>
      </x:c>
    </x:row>
    <x:row r="6" ht="31.5" customHeight="1">
      <x:c r="A6" s="26" t="str">
        <x:v>1.1</x:v>
      </x:c>
      <x:c r="B6" s="37" t="str">
        <x:v>1. 项目启动与基线</x:v>
      </x:c>
      <x:c r="C6" s="26" t="str">
        <x:v>设计书拆解与页面矩阵</x:v>
      </x:c>
      <x:c r="D6" s="26" t="str">
        <x:v>页面矩阵、站点地图、模块映射表</x:v>
      </x:c>
      <x:c r="E6" s="27" t="n">
        <x:v>46181</x:v>
      </x:c>
      <x:c r="F6" s="27" t="n">
        <x:v>46182</x:v>
      </x:c>
      <x:c r="G6" s="28" t="n">
        <x:v>2</x:v>
      </x:c>
      <x:c r="H6" s="28" t="n">
        <x:f>INT((E6-$B$3)/7)+1</x:f>
        <x:v>1</x:v>
      </x:c>
      <x:c r="I6" s="28" t="n">
        <x:f>INT((F6-$B$3)/7)+1</x:f>
        <x:v>1</x:v>
      </x:c>
      <x:c r="J6" s="83" t="n">
        <x:f>IF(AND(J$4&gt;=$H6,J$4&lt;=$I6),1,"")</x:f>
        <x:v>1</x:v>
      </x:c>
      <x:c r="K6" s="83" t="str">
        <x:f>IF(AND(K$4&gt;=$H6,K$4&lt;=$I6),1,"")</x:f>
      </x:c>
      <x:c r="L6" s="83" t="str">
        <x:f>IF(AND(L$4&gt;=$H6,L$4&lt;=$I6),1,"")</x:f>
      </x:c>
      <x:c r="M6" s="83" t="str">
        <x:f>IF(AND(M$4&gt;=$H6,M$4&lt;=$I6),1,"")</x:f>
      </x:c>
      <x:c r="N6" s="83" t="str">
        <x:f>IF(AND(N$4&gt;=$H6,N$4&lt;=$I6),1,"")</x:f>
      </x:c>
      <x:c r="O6" s="83" t="str">
        <x:f>IF(AND(O$4&gt;=$H6,O$4&lt;=$I6),1,"")</x:f>
      </x:c>
      <x:c r="P6" s="83" t="str">
        <x:f>IF(AND(P$4&gt;=$H6,P$4&lt;=$I6),1,"")</x:f>
      </x:c>
      <x:c r="Q6" s="83" t="str">
        <x:f>IF(AND(Q$4&gt;=$H6,Q$4&lt;=$I6),1,"")</x:f>
      </x:c>
    </x:row>
    <x:row r="7" ht="31.5" customHeight="1">
      <x:c r="A7" s="26" t="str">
        <x:v>1.2</x:v>
      </x:c>
      <x:c r="B7" s="37" t="str">
        <x:v>1. 项目启动与基线</x:v>
      </x:c>
      <x:c r="C7" s="26" t="str">
        <x:v>范围冻结与优先级</x:v>
      </x:c>
      <x:c r="D7" s="26" t="str">
        <x:v>范围清单、优先级表、延期项清单</x:v>
      </x:c>
      <x:c r="E7" s="27" t="n">
        <x:v>46183</x:v>
      </x:c>
      <x:c r="F7" s="27" t="n">
        <x:v>46183</x:v>
      </x:c>
      <x:c r="G7" s="28" t="n">
        <x:v>1</x:v>
      </x:c>
      <x:c r="H7" s="28" t="n">
        <x:f>INT((E7-$B$3)/7)+1</x:f>
        <x:v>1</x:v>
      </x:c>
      <x:c r="I7" s="28" t="n">
        <x:f>INT((F7-$B$3)/7)+1</x:f>
        <x:v>1</x:v>
      </x:c>
      <x:c r="J7" s="83" t="n">
        <x:f>IF(AND(J$4&gt;=$H7,J$4&lt;=$I7),1,"")</x:f>
        <x:v>1</x:v>
      </x:c>
      <x:c r="K7" s="83" t="str">
        <x:f>IF(AND(K$4&gt;=$H7,K$4&lt;=$I7),1,"")</x:f>
      </x:c>
      <x:c r="L7" s="83" t="str">
        <x:f>IF(AND(L$4&gt;=$H7,L$4&lt;=$I7),1,"")</x:f>
      </x:c>
      <x:c r="M7" s="83" t="str">
        <x:f>IF(AND(M$4&gt;=$H7,M$4&lt;=$I7),1,"")</x:f>
      </x:c>
      <x:c r="N7" s="83" t="str">
        <x:f>IF(AND(N$4&gt;=$H7,N$4&lt;=$I7),1,"")</x:f>
      </x:c>
      <x:c r="O7" s="83" t="str">
        <x:f>IF(AND(O$4&gt;=$H7,O$4&lt;=$I7),1,"")</x:f>
      </x:c>
      <x:c r="P7" s="83" t="str">
        <x:f>IF(AND(P$4&gt;=$H7,P$4&lt;=$I7),1,"")</x:f>
      </x:c>
      <x:c r="Q7" s="83" t="str">
        <x:f>IF(AND(Q$4&gt;=$H7,Q$4&lt;=$I7),1,"")</x:f>
      </x:c>
    </x:row>
    <x:row r="8" ht="31.5" customHeight="1">
      <x:c r="A8" s="26" t="str">
        <x:v>1.3</x:v>
      </x:c>
      <x:c r="B8" s="37" t="str">
        <x:v>1. 项目启动与基线</x:v>
      </x:c>
      <x:c r="C8" s="26" t="str">
        <x:v>AI 开发与测试规范</x:v>
      </x:c>
      <x:c r="D8" s="26" t="str">
        <x:v>AI 协作规范、Prompt 模板、缺陷模板</x:v>
      </x:c>
      <x:c r="E8" s="27" t="n">
        <x:v>46184</x:v>
      </x:c>
      <x:c r="F8" s="27" t="n">
        <x:v>46184</x:v>
      </x:c>
      <x:c r="G8" s="28" t="n">
        <x:v>1</x:v>
      </x:c>
      <x:c r="H8" s="28" t="n">
        <x:f>INT((E8-$B$3)/7)+1</x:f>
        <x:v>1</x:v>
      </x:c>
      <x:c r="I8" s="28" t="n">
        <x:f>INT((F8-$B$3)/7)+1</x:f>
        <x:v>1</x:v>
      </x:c>
      <x:c r="J8" s="83" t="n">
        <x:f>IF(AND(J$4&gt;=$H8,J$4&lt;=$I8),1,"")</x:f>
        <x:v>1</x:v>
      </x:c>
      <x:c r="K8" s="83" t="str">
        <x:f>IF(AND(K$4&gt;=$H8,K$4&lt;=$I8),1,"")</x:f>
      </x:c>
      <x:c r="L8" s="83" t="str">
        <x:f>IF(AND(L$4&gt;=$H8,L$4&lt;=$I8),1,"")</x:f>
      </x:c>
      <x:c r="M8" s="83" t="str">
        <x:f>IF(AND(M$4&gt;=$H8,M$4&lt;=$I8),1,"")</x:f>
      </x:c>
      <x:c r="N8" s="83" t="str">
        <x:f>IF(AND(N$4&gt;=$H8,N$4&lt;=$I8),1,"")</x:f>
      </x:c>
      <x:c r="O8" s="83" t="str">
        <x:f>IF(AND(O$4&gt;=$H8,O$4&lt;=$I8),1,"")</x:f>
      </x:c>
      <x:c r="P8" s="83" t="str">
        <x:f>IF(AND(P$4&gt;=$H8,P$4&lt;=$I8),1,"")</x:f>
      </x:c>
      <x:c r="Q8" s="83" t="str">
        <x:f>IF(AND(Q$4&gt;=$H8,Q$4&lt;=$I8),1,"")</x:f>
      </x:c>
    </x:row>
    <x:row r="9" ht="31.5" customHeight="1">
      <x:c r="A9" s="26" t="str">
        <x:v>1.4</x:v>
      </x:c>
      <x:c r="B9" s="37" t="str">
        <x:v>1. 项目启动与基线</x:v>
      </x:c>
      <x:c r="C9" s="26" t="str">
        <x:v>风险台账与里程碑确认</x:v>
      </x:c>
      <x:c r="D9" s="26" t="str">
        <x:v>风险台账、里程碑表、验收节点评审单</x:v>
      </x:c>
      <x:c r="E9" s="27" t="n">
        <x:v>46185</x:v>
      </x:c>
      <x:c r="F9" s="27" t="n">
        <x:v>46185</x:v>
      </x:c>
      <x:c r="G9" s="28" t="n">
        <x:v>1</x:v>
      </x:c>
      <x:c r="H9" s="28" t="n">
        <x:f>INT((E9-$B$3)/7)+1</x:f>
        <x:v>1</x:v>
      </x:c>
      <x:c r="I9" s="28" t="n">
        <x:f>INT((F9-$B$3)/7)+1</x:f>
        <x:v>1</x:v>
      </x:c>
      <x:c r="J9" s="83" t="n">
        <x:f>IF(AND(J$4&gt;=$H9,J$4&lt;=$I9),1,"")</x:f>
        <x:v>1</x:v>
      </x:c>
      <x:c r="K9" s="83" t="str">
        <x:f>IF(AND(K$4&gt;=$H9,K$4&lt;=$I9),1,"")</x:f>
      </x:c>
      <x:c r="L9" s="83" t="str">
        <x:f>IF(AND(L$4&gt;=$H9,L$4&lt;=$I9),1,"")</x:f>
      </x:c>
      <x:c r="M9" s="83" t="str">
        <x:f>IF(AND(M$4&gt;=$H9,M$4&lt;=$I9),1,"")</x:f>
      </x:c>
      <x:c r="N9" s="83" t="str">
        <x:f>IF(AND(N$4&gt;=$H9,N$4&lt;=$I9),1,"")</x:f>
      </x:c>
      <x:c r="O9" s="83" t="str">
        <x:f>IF(AND(O$4&gt;=$H9,O$4&lt;=$I9),1,"")</x:f>
      </x:c>
      <x:c r="P9" s="83" t="str">
        <x:f>IF(AND(P$4&gt;=$H9,P$4&lt;=$I9),1,"")</x:f>
      </x:c>
      <x:c r="Q9" s="83" t="str">
        <x:f>IF(AND(Q$4&gt;=$H9,Q$4&lt;=$I9),1,"")</x:f>
      </x:c>
    </x:row>
    <x:row r="10" ht="31.5" customHeight="1">
      <x:c r="A10" s="26" t="str">
        <x:v>2.1</x:v>
      </x:c>
      <x:c r="B10" s="41" t="str">
        <x:v>2. 本地环境与仓库基线</x:v>
      </x:c>
      <x:c r="C10" s="26" t="str">
        <x:v>本地架构确认</x:v>
      </x:c>
      <x:c r="D10" s="26" t="str">
        <x:v>本地架构说明、目录结构图、端口分配表</x:v>
      </x:c>
      <x:c r="E10" s="27" t="n">
        <x:v>46188</x:v>
      </x:c>
      <x:c r="F10" s="27" t="n">
        <x:v>46188</x:v>
      </x:c>
      <x:c r="G10" s="28" t="n">
        <x:v>1</x:v>
      </x:c>
      <x:c r="H10" s="28" t="n">
        <x:f>INT((E10-$B$3)/7)+1</x:f>
        <x:v>2</x:v>
      </x:c>
      <x:c r="I10" s="28" t="n">
        <x:f>INT((F10-$B$3)/7)+1</x:f>
        <x:v>2</x:v>
      </x:c>
      <x:c r="J10" s="83" t="str">
        <x:f>IF(AND(J$4&gt;=$H10,J$4&lt;=$I10),1,"")</x:f>
      </x:c>
      <x:c r="K10" s="83" t="n">
        <x:f>IF(AND(K$4&gt;=$H10,K$4&lt;=$I10),1,"")</x:f>
        <x:v>1</x:v>
      </x:c>
      <x:c r="L10" s="83" t="str">
        <x:f>IF(AND(L$4&gt;=$H10,L$4&lt;=$I10),1,"")</x:f>
      </x:c>
      <x:c r="M10" s="83" t="str">
        <x:f>IF(AND(M$4&gt;=$H10,M$4&lt;=$I10),1,"")</x:f>
      </x:c>
      <x:c r="N10" s="83" t="str">
        <x:f>IF(AND(N$4&gt;=$H10,N$4&lt;=$I10),1,"")</x:f>
      </x:c>
      <x:c r="O10" s="83" t="str">
        <x:f>IF(AND(O$4&gt;=$H10,O$4&lt;=$I10),1,"")</x:f>
      </x:c>
      <x:c r="P10" s="83" t="str">
        <x:f>IF(AND(P$4&gt;=$H10,P$4&lt;=$I10),1,"")</x:f>
      </x:c>
      <x:c r="Q10" s="83" t="str">
        <x:f>IF(AND(Q$4&gt;=$H10,Q$4&lt;=$I10),1,"")</x:f>
      </x:c>
    </x:row>
    <x:row r="11" ht="31.5" customHeight="1">
      <x:c r="A11" s="26" t="str">
        <x:v>2.2</x:v>
      </x:c>
      <x:c r="B11" s="41" t="str">
        <x:v>2. 本地环境与仓库基线</x:v>
      </x:c>
      <x:c r="C11" s="26" t="str">
        <x:v>Docker Compose 与初始化脚本</x:v>
      </x:c>
      <x:c r="D11" s="26" t="str">
        <x:v>docker-compose.yml、.env.sample、bootstrap 脚本</x:v>
      </x:c>
      <x:c r="E11" s="27" t="n">
        <x:v>46189</x:v>
      </x:c>
      <x:c r="F11" s="27" t="n">
        <x:v>46189</x:v>
      </x:c>
      <x:c r="G11" s="28" t="n">
        <x:v>1</x:v>
      </x:c>
      <x:c r="H11" s="28" t="n">
        <x:f>INT((E11-$B$3)/7)+1</x:f>
        <x:v>2</x:v>
      </x:c>
      <x:c r="I11" s="28" t="n">
        <x:f>INT((F11-$B$3)/7)+1</x:f>
        <x:v>2</x:v>
      </x:c>
      <x:c r="J11" s="83" t="str">
        <x:f>IF(AND(J$4&gt;=$H11,J$4&lt;=$I11),1,"")</x:f>
      </x:c>
      <x:c r="K11" s="83" t="n">
        <x:f>IF(AND(K$4&gt;=$H11,K$4&lt;=$I11),1,"")</x:f>
        <x:v>1</x:v>
      </x:c>
      <x:c r="L11" s="83" t="str">
        <x:f>IF(AND(L$4&gt;=$H11,L$4&lt;=$I11),1,"")</x:f>
      </x:c>
      <x:c r="M11" s="83" t="str">
        <x:f>IF(AND(M$4&gt;=$H11,M$4&lt;=$I11),1,"")</x:f>
      </x:c>
      <x:c r="N11" s="83" t="str">
        <x:f>IF(AND(N$4&gt;=$H11,N$4&lt;=$I11),1,"")</x:f>
      </x:c>
      <x:c r="O11" s="83" t="str">
        <x:f>IF(AND(O$4&gt;=$H11,O$4&lt;=$I11),1,"")</x:f>
      </x:c>
      <x:c r="P11" s="83" t="str">
        <x:f>IF(AND(P$4&gt;=$H11,P$4&lt;=$I11),1,"")</x:f>
      </x:c>
      <x:c r="Q11" s="83" t="str">
        <x:f>IF(AND(Q$4&gt;=$H11,Q$4&lt;=$I11),1,"")</x:f>
      </x:c>
    </x:row>
    <x:row r="12" ht="31.5" customHeight="1">
      <x:c r="A12" s="26" t="str">
        <x:v>2.3</x:v>
      </x:c>
      <x:c r="B12" s="41" t="str">
        <x:v>2. 本地环境与仓库基线</x:v>
      </x:c>
      <x:c r="C12" s="26" t="str">
        <x:v>WordPress 安装与后台初始化</x:v>
      </x:c>
      <x:c r="D12" s="26" t="str">
        <x:v>本地 WP 站点、管理员账号表、初始化截图</x:v>
      </x:c>
      <x:c r="E12" s="27" t="n">
        <x:v>46190</x:v>
      </x:c>
      <x:c r="F12" s="27" t="n">
        <x:v>46190</x:v>
      </x:c>
      <x:c r="G12" s="28" t="n">
        <x:v>1</x:v>
      </x:c>
      <x:c r="H12" s="28" t="n">
        <x:f>INT((E12-$B$3)/7)+1</x:f>
        <x:v>2</x:v>
      </x:c>
      <x:c r="I12" s="28" t="n">
        <x:f>INT((F12-$B$3)/7)+1</x:f>
        <x:v>2</x:v>
      </x:c>
      <x:c r="J12" s="83" t="str">
        <x:f>IF(AND(J$4&gt;=$H12,J$4&lt;=$I12),1,"")</x:f>
      </x:c>
      <x:c r="K12" s="83" t="n">
        <x:f>IF(AND(K$4&gt;=$H12,K$4&lt;=$I12),1,"")</x:f>
        <x:v>1</x:v>
      </x:c>
      <x:c r="L12" s="83" t="str">
        <x:f>IF(AND(L$4&gt;=$H12,L$4&lt;=$I12),1,"")</x:f>
      </x:c>
      <x:c r="M12" s="83" t="str">
        <x:f>IF(AND(M$4&gt;=$H12,M$4&lt;=$I12),1,"")</x:f>
      </x:c>
      <x:c r="N12" s="83" t="str">
        <x:f>IF(AND(N$4&gt;=$H12,N$4&lt;=$I12),1,"")</x:f>
      </x:c>
      <x:c r="O12" s="83" t="str">
        <x:f>IF(AND(O$4&gt;=$H12,O$4&lt;=$I12),1,"")</x:f>
      </x:c>
      <x:c r="P12" s="83" t="str">
        <x:f>IF(AND(P$4&gt;=$H12,P$4&lt;=$I12),1,"")</x:f>
      </x:c>
      <x:c r="Q12" s="83" t="str">
        <x:f>IF(AND(Q$4&gt;=$H12,Q$4&lt;=$I12),1,"")</x:f>
      </x:c>
    </x:row>
    <x:row r="13" ht="31.5" customHeight="1">
      <x:c r="A13" s="26" t="str">
        <x:v>2.4</x:v>
      </x:c>
      <x:c r="B13" s="41" t="str">
        <x:v>2. 本地环境与仓库基线</x:v>
      </x:c>
      <x:c r="C13" s="26" t="str">
        <x:v>主题与插件基线安装</x:v>
      </x:c>
      <x:c r="D13" s="26" t="str">
        <x:v>插件清单、版本表、启用截图</x:v>
      </x:c>
      <x:c r="E13" s="27" t="n">
        <x:v>46191</x:v>
      </x:c>
      <x:c r="F13" s="27" t="n">
        <x:v>46191</x:v>
      </x:c>
      <x:c r="G13" s="28" t="n">
        <x:v>1</x:v>
      </x:c>
      <x:c r="H13" s="28" t="n">
        <x:f>INT((E13-$B$3)/7)+1</x:f>
        <x:v>2</x:v>
      </x:c>
      <x:c r="I13" s="28" t="n">
        <x:f>INT((F13-$B$3)/7)+1</x:f>
        <x:v>2</x:v>
      </x:c>
      <x:c r="J13" s="83" t="str">
        <x:f>IF(AND(J$4&gt;=$H13,J$4&lt;=$I13),1,"")</x:f>
      </x:c>
      <x:c r="K13" s="83" t="n">
        <x:f>IF(AND(K$4&gt;=$H13,K$4&lt;=$I13),1,"")</x:f>
        <x:v>1</x:v>
      </x:c>
      <x:c r="L13" s="83" t="str">
        <x:f>IF(AND(L$4&gt;=$H13,L$4&lt;=$I13),1,"")</x:f>
      </x:c>
      <x:c r="M13" s="83" t="str">
        <x:f>IF(AND(M$4&gt;=$H13,M$4&lt;=$I13),1,"")</x:f>
      </x:c>
      <x:c r="N13" s="83" t="str">
        <x:f>IF(AND(N$4&gt;=$H13,N$4&lt;=$I13),1,"")</x:f>
      </x:c>
      <x:c r="O13" s="83" t="str">
        <x:f>IF(AND(O$4&gt;=$H13,O$4&lt;=$I13),1,"")</x:f>
      </x:c>
      <x:c r="P13" s="83" t="str">
        <x:f>IF(AND(P$4&gt;=$H13,P$4&lt;=$I13),1,"")</x:f>
      </x:c>
      <x:c r="Q13" s="83" t="str">
        <x:f>IF(AND(Q$4&gt;=$H13,Q$4&lt;=$I13),1,"")</x:f>
      </x:c>
    </x:row>
    <x:row r="14" ht="31.5" customHeight="1">
      <x:c r="A14" s="26" t="str">
        <x:v>2.5</x:v>
      </x:c>
      <x:c r="B14" s="41" t="str">
        <x:v>2. 本地环境与仓库基线</x:v>
      </x:c>
      <x:c r="C14" s="26" t="str">
        <x:v>Git、备份与迁移基线</x:v>
      </x:c>
      <x:c r="D14" s="26" t="str">
        <x:v>仓库结构、备份脚本、迁移基线说明</x:v>
      </x:c>
      <x:c r="E14" s="27" t="n">
        <x:v>46192</x:v>
      </x:c>
      <x:c r="F14" s="27" t="n">
        <x:v>46192</x:v>
      </x:c>
      <x:c r="G14" s="28" t="n">
        <x:v>1</x:v>
      </x:c>
      <x:c r="H14" s="28" t="n">
        <x:f>INT((E14-$B$3)/7)+1</x:f>
        <x:v>2</x:v>
      </x:c>
      <x:c r="I14" s="28" t="n">
        <x:f>INT((F14-$B$3)/7)+1</x:f>
        <x:v>2</x:v>
      </x:c>
      <x:c r="J14" s="83" t="str">
        <x:f>IF(AND(J$4&gt;=$H14,J$4&lt;=$I14),1,"")</x:f>
      </x:c>
      <x:c r="K14" s="83" t="n">
        <x:f>IF(AND(K$4&gt;=$H14,K$4&lt;=$I14),1,"")</x:f>
        <x:v>1</x:v>
      </x:c>
      <x:c r="L14" s="83" t="str">
        <x:f>IF(AND(L$4&gt;=$H14,L$4&lt;=$I14),1,"")</x:f>
      </x:c>
      <x:c r="M14" s="83" t="str">
        <x:f>IF(AND(M$4&gt;=$H14,M$4&lt;=$I14),1,"")</x:f>
      </x:c>
      <x:c r="N14" s="83" t="str">
        <x:f>IF(AND(N$4&gt;=$H14,N$4&lt;=$I14),1,"")</x:f>
      </x:c>
      <x:c r="O14" s="83" t="str">
        <x:f>IF(AND(O$4&gt;=$H14,O$4&lt;=$I14),1,"")</x:f>
      </x:c>
      <x:c r="P14" s="83" t="str">
        <x:f>IF(AND(P$4&gt;=$H14,P$4&lt;=$I14),1,"")</x:f>
      </x:c>
      <x:c r="Q14" s="83" t="str">
        <x:f>IF(AND(Q$4&gt;=$H14,Q$4&lt;=$I14),1,"")</x:f>
      </x:c>
    </x:row>
    <x:row r="15" ht="31.5" customHeight="1">
      <x:c r="A15" s="26" t="str">
        <x:v>3.1</x:v>
      </x:c>
      <x:c r="B15" s="45" t="str">
        <x:v>3. 设计系统与数据模型</x:v>
      </x:c>
      <x:c r="C15" s="26" t="str">
        <x:v>子主题脚手架</x:v>
      </x:c>
      <x:c r="D15" s="26" t="str">
        <x:v>子主题目录、functions.php、基础样式文件</x:v>
      </x:c>
      <x:c r="E15" s="27" t="n">
        <x:v>46195</x:v>
      </x:c>
      <x:c r="F15" s="27" t="n">
        <x:v>46195</x:v>
      </x:c>
      <x:c r="G15" s="28" t="n">
        <x:v>1</x:v>
      </x:c>
      <x:c r="H15" s="28" t="n">
        <x:f>INT((E15-$B$3)/7)+1</x:f>
        <x:v>3</x:v>
      </x:c>
      <x:c r="I15" s="28" t="n">
        <x:f>INT((F15-$B$3)/7)+1</x:f>
        <x:v>3</x:v>
      </x:c>
      <x:c r="J15" s="83" t="str">
        <x:f>IF(AND(J$4&gt;=$H15,J$4&lt;=$I15),1,"")</x:f>
      </x:c>
      <x:c r="K15" s="83" t="str">
        <x:f>IF(AND(K$4&gt;=$H15,K$4&lt;=$I15),1,"")</x:f>
      </x:c>
      <x:c r="L15" s="83" t="n">
        <x:f>IF(AND(L$4&gt;=$H15,L$4&lt;=$I15),1,"")</x:f>
        <x:v>1</x:v>
      </x:c>
      <x:c r="M15" s="83" t="str">
        <x:f>IF(AND(M$4&gt;=$H15,M$4&lt;=$I15),1,"")</x:f>
      </x:c>
      <x:c r="N15" s="83" t="str">
        <x:f>IF(AND(N$4&gt;=$H15,N$4&lt;=$I15),1,"")</x:f>
      </x:c>
      <x:c r="O15" s="83" t="str">
        <x:f>IF(AND(O$4&gt;=$H15,O$4&lt;=$I15),1,"")</x:f>
      </x:c>
      <x:c r="P15" s="83" t="str">
        <x:f>IF(AND(P$4&gt;=$H15,P$4&lt;=$I15),1,"")</x:f>
      </x:c>
      <x:c r="Q15" s="83" t="str">
        <x:f>IF(AND(Q$4&gt;=$H15,Q$4&lt;=$I15),1,"")</x:f>
      </x:c>
    </x:row>
    <x:row r="16" ht="31.5" customHeight="1">
      <x:c r="A16" s="26" t="str">
        <x:v>3.2</x:v>
      </x:c>
      <x:c r="B16" s="45" t="str">
        <x:v>3. 设计系统与数据模型</x:v>
      </x:c>
      <x:c r="C16" s="26" t="str">
        <x:v>设计 Token 与排版系统</x:v>
      </x:c>
      <x:c r="D16" s="26" t="str">
        <x:v>style.css、CSS variables、排版规范表</x:v>
      </x:c>
      <x:c r="E16" s="27" t="n">
        <x:v>46196</x:v>
      </x:c>
      <x:c r="F16" s="27" t="n">
        <x:v>46196</x:v>
      </x:c>
      <x:c r="G16" s="28" t="n">
        <x:v>1</x:v>
      </x:c>
      <x:c r="H16" s="28" t="n">
        <x:f>INT((E16-$B$3)/7)+1</x:f>
        <x:v>3</x:v>
      </x:c>
      <x:c r="I16" s="28" t="n">
        <x:f>INT((F16-$B$3)/7)+1</x:f>
        <x:v>3</x:v>
      </x:c>
      <x:c r="J16" s="83" t="str">
        <x:f>IF(AND(J$4&gt;=$H16,J$4&lt;=$I16),1,"")</x:f>
      </x:c>
      <x:c r="K16" s="83" t="str">
        <x:f>IF(AND(K$4&gt;=$H16,K$4&lt;=$I16),1,"")</x:f>
      </x:c>
      <x:c r="L16" s="83" t="n">
        <x:f>IF(AND(L$4&gt;=$H16,L$4&lt;=$I16),1,"")</x:f>
        <x:v>1</x:v>
      </x:c>
      <x:c r="M16" s="83" t="str">
        <x:f>IF(AND(M$4&gt;=$H16,M$4&lt;=$I16),1,"")</x:f>
      </x:c>
      <x:c r="N16" s="83" t="str">
        <x:f>IF(AND(N$4&gt;=$H16,N$4&lt;=$I16),1,"")</x:f>
      </x:c>
      <x:c r="O16" s="83" t="str">
        <x:f>IF(AND(O$4&gt;=$H16,O$4&lt;=$I16),1,"")</x:f>
      </x:c>
      <x:c r="P16" s="83" t="str">
        <x:f>IF(AND(P$4&gt;=$H16,P$4&lt;=$I16),1,"")</x:f>
      </x:c>
      <x:c r="Q16" s="83" t="str">
        <x:f>IF(AND(Q$4&gt;=$H16,Q$4&lt;=$I16),1,"")</x:f>
      </x:c>
    </x:row>
    <x:row r="17" ht="31.5" customHeight="1">
      <x:c r="A17" s="26" t="str">
        <x:v>3.3</x:v>
      </x:c>
      <x:c r="B17" s="45" t="str">
        <x:v>3. 设计系统与数据模型</x:v>
      </x:c>
      <x:c r="C17" s="26" t="str">
        <x:v>Logo 与 Panda SVG 资产整理</x:v>
      </x:c>
      <x:c r="D17" s="26" t="str">
        <x:v>assets/logo.svg、panda SVG 集合、资源命名表</x:v>
      </x:c>
      <x:c r="E17" s="27" t="n">
        <x:v>46197</x:v>
      </x:c>
      <x:c r="F17" s="27" t="n">
        <x:v>46197</x:v>
      </x:c>
      <x:c r="G17" s="28" t="n">
        <x:v>1</x:v>
      </x:c>
      <x:c r="H17" s="28" t="n">
        <x:f>INT((E17-$B$3)/7)+1</x:f>
        <x:v>3</x:v>
      </x:c>
      <x:c r="I17" s="28" t="n">
        <x:f>INT((F17-$B$3)/7)+1</x:f>
        <x:v>3</x:v>
      </x:c>
      <x:c r="J17" s="83" t="str">
        <x:f>IF(AND(J$4&gt;=$H17,J$4&lt;=$I17),1,"")</x:f>
      </x:c>
      <x:c r="K17" s="83" t="str">
        <x:f>IF(AND(K$4&gt;=$H17,K$4&lt;=$I17),1,"")</x:f>
      </x:c>
      <x:c r="L17" s="83" t="n">
        <x:f>IF(AND(L$4&gt;=$H17,L$4&lt;=$I17),1,"")</x:f>
        <x:v>1</x:v>
      </x:c>
      <x:c r="M17" s="83" t="str">
        <x:f>IF(AND(M$4&gt;=$H17,M$4&lt;=$I17),1,"")</x:f>
      </x:c>
      <x:c r="N17" s="83" t="str">
        <x:f>IF(AND(N$4&gt;=$H17,N$4&lt;=$I17),1,"")</x:f>
      </x:c>
      <x:c r="O17" s="83" t="str">
        <x:f>IF(AND(O$4&gt;=$H17,O$4&lt;=$I17),1,"")</x:f>
      </x:c>
      <x:c r="P17" s="83" t="str">
        <x:f>IF(AND(P$4&gt;=$H17,P$4&lt;=$I17),1,"")</x:f>
      </x:c>
      <x:c r="Q17" s="83" t="str">
        <x:f>IF(AND(Q$4&gt;=$H17,Q$4&lt;=$I17),1,"")</x:f>
      </x:c>
    </x:row>
    <x:row r="18" ht="31.5" customHeight="1">
      <x:c r="A18" s="26" t="str">
        <x:v>3.4</x:v>
      </x:c>
      <x:c r="B18" s="45" t="str">
        <x:v>3. 设计系统与数据模型</x:v>
      </x:c>
      <x:c r="C18" s="26" t="str">
        <x:v>CPT、Taxonomy、ACF 字段设计</x:v>
      </x:c>
      <x:c r="D18" s="26" t="str">
        <x:v>CPT/Taxonomy 代码、ACF 字段组、录入说明</x:v>
      </x:c>
      <x:c r="E18" s="27" t="n">
        <x:v>46198</x:v>
      </x:c>
      <x:c r="F18" s="27" t="n">
        <x:v>46199</x:v>
      </x:c>
      <x:c r="G18" s="28" t="n">
        <x:v>2</x:v>
      </x:c>
      <x:c r="H18" s="28" t="n">
        <x:f>INT((E18-$B$3)/7)+1</x:f>
        <x:v>3</x:v>
      </x:c>
      <x:c r="I18" s="28" t="n">
        <x:f>INT((F18-$B$3)/7)+1</x:f>
        <x:v>3</x:v>
      </x:c>
      <x:c r="J18" s="83" t="str">
        <x:f>IF(AND(J$4&gt;=$H18,J$4&lt;=$I18),1,"")</x:f>
      </x:c>
      <x:c r="K18" s="83" t="str">
        <x:f>IF(AND(K$4&gt;=$H18,K$4&lt;=$I18),1,"")</x:f>
      </x:c>
      <x:c r="L18" s="83" t="n">
        <x:f>IF(AND(L$4&gt;=$H18,L$4&lt;=$I18),1,"")</x:f>
        <x:v>1</x:v>
      </x:c>
      <x:c r="M18" s="83" t="str">
        <x:f>IF(AND(M$4&gt;=$H18,M$4&lt;=$I18),1,"")</x:f>
      </x:c>
      <x:c r="N18" s="83" t="str">
        <x:f>IF(AND(N$4&gt;=$H18,N$4&lt;=$I18),1,"")</x:f>
      </x:c>
      <x:c r="O18" s="83" t="str">
        <x:f>IF(AND(O$4&gt;=$H18,O$4&lt;=$I18),1,"")</x:f>
      </x:c>
      <x:c r="P18" s="83" t="str">
        <x:f>IF(AND(P$4&gt;=$H18,P$4&lt;=$I18),1,"")</x:f>
      </x:c>
      <x:c r="Q18" s="83" t="str">
        <x:f>IF(AND(Q$4&gt;=$H18,Q$4&lt;=$I18),1,"")</x:f>
      </x:c>
    </x:row>
    <x:row r="19" ht="31.5" customHeight="1">
      <x:c r="A19" s="26" t="str">
        <x:v>4.1</x:v>
      </x:c>
      <x:c r="B19" s="49" t="str">
        <x:v>4. 全局布局与文章系统</x:v>
      </x:c>
      <x:c r="C19" s="26" t="str">
        <x:v>Header / Footer / 全局导航</x:v>
      </x:c>
      <x:c r="D19" s="26" t="str">
        <x:v>Header、Footer、菜单结构、移动端导航截图</x:v>
      </x:c>
      <x:c r="E19" s="27" t="n">
        <x:v>46202</x:v>
      </x:c>
      <x:c r="F19" s="27" t="n">
        <x:v>46202</x:v>
      </x:c>
      <x:c r="G19" s="28" t="n">
        <x:v>1</x:v>
      </x:c>
      <x:c r="H19" s="28" t="n">
        <x:f>INT((E19-$B$3)/7)+1</x:f>
        <x:v>4</x:v>
      </x:c>
      <x:c r="I19" s="28" t="n">
        <x:f>INT((F19-$B$3)/7)+1</x:f>
        <x:v>4</x:v>
      </x:c>
      <x:c r="J19" s="83" t="str">
        <x:f>IF(AND(J$4&gt;=$H19,J$4&lt;=$I19),1,"")</x:f>
      </x:c>
      <x:c r="K19" s="83" t="str">
        <x:f>IF(AND(K$4&gt;=$H19,K$4&lt;=$I19),1,"")</x:f>
      </x:c>
      <x:c r="L19" s="83" t="str">
        <x:f>IF(AND(L$4&gt;=$H19,L$4&lt;=$I19),1,"")</x:f>
      </x:c>
      <x:c r="M19" s="83" t="n">
        <x:f>IF(AND(M$4&gt;=$H19,M$4&lt;=$I19),1,"")</x:f>
        <x:v>1</x:v>
      </x:c>
      <x:c r="N19" s="83" t="str">
        <x:f>IF(AND(N$4&gt;=$H19,N$4&lt;=$I19),1,"")</x:f>
      </x:c>
      <x:c r="O19" s="83" t="str">
        <x:f>IF(AND(O$4&gt;=$H19,O$4&lt;=$I19),1,"")</x:f>
      </x:c>
      <x:c r="P19" s="83" t="str">
        <x:f>IF(AND(P$4&gt;=$H19,P$4&lt;=$I19),1,"")</x:f>
      </x:c>
      <x:c r="Q19" s="83" t="str">
        <x:f>IF(AND(Q$4&gt;=$H19,Q$4&lt;=$I19),1,"")</x:f>
      </x:c>
    </x:row>
    <x:row r="20" ht="31.5" customHeight="1">
      <x:c r="A20" s="26" t="str">
        <x:v>4.2</x:v>
      </x:c>
      <x:c r="B20" s="49" t="str">
        <x:v>4. 全局布局与文章系统</x:v>
      </x:c>
      <x:c r="C20" s="26" t="str">
        <x:v>Single Post 模板与 TOC</x:v>
      </x:c>
      <x:c r="D20" s="26" t="str">
        <x:v>single post 模板、目录区、样例文章页面</x:v>
      </x:c>
      <x:c r="E20" s="27" t="n">
        <x:v>46203</x:v>
      </x:c>
      <x:c r="F20" s="27" t="n">
        <x:v>46203</x:v>
      </x:c>
      <x:c r="G20" s="28" t="n">
        <x:v>1</x:v>
      </x:c>
      <x:c r="H20" s="28" t="n">
        <x:f>INT((E20-$B$3)/7)+1</x:f>
        <x:v>4</x:v>
      </x:c>
      <x:c r="I20" s="28" t="n">
        <x:f>INT((F20-$B$3)/7)+1</x:f>
        <x:v>4</x:v>
      </x:c>
      <x:c r="J20" s="83" t="str">
        <x:f>IF(AND(J$4&gt;=$H20,J$4&lt;=$I20),1,"")</x:f>
      </x:c>
      <x:c r="K20" s="83" t="str">
        <x:f>IF(AND(K$4&gt;=$H20,K$4&lt;=$I20),1,"")</x:f>
      </x:c>
      <x:c r="L20" s="83" t="str">
        <x:f>IF(AND(L$4&gt;=$H20,L$4&lt;=$I20),1,"")</x:f>
      </x:c>
      <x:c r="M20" s="83" t="n">
        <x:f>IF(AND(M$4&gt;=$H20,M$4&lt;=$I20),1,"")</x:f>
        <x:v>1</x:v>
      </x:c>
      <x:c r="N20" s="83" t="str">
        <x:f>IF(AND(N$4&gt;=$H20,N$4&lt;=$I20),1,"")</x:f>
      </x:c>
      <x:c r="O20" s="83" t="str">
        <x:f>IF(AND(O$4&gt;=$H20,O$4&lt;=$I20),1,"")</x:f>
      </x:c>
      <x:c r="P20" s="83" t="str">
        <x:f>IF(AND(P$4&gt;=$H20,P$4&lt;=$I20),1,"")</x:f>
      </x:c>
      <x:c r="Q20" s="83" t="str">
        <x:f>IF(AND(Q$4&gt;=$H20,Q$4&lt;=$I20),1,"")</x:f>
      </x:c>
    </x:row>
    <x:row r="21" ht="31.5" customHeight="1">
      <x:c r="A21" s="26" t="str">
        <x:v>4.3</x:v>
      </x:c>
      <x:c r="B21" s="49" t="str">
        <x:v>4. 全局布局与文章系统</x:v>
      </x:c>
      <x:c r="C21" s="26" t="str">
        <x:v>Panda / Student Dialog 区块</x:v>
      </x:c>
      <x:c r="D21" s="26" t="str">
        <x:v>对话区块、后台插入方式说明、样例正文</x:v>
      </x:c>
      <x:c r="E21" s="27" t="n">
        <x:v>46204</x:v>
      </x:c>
      <x:c r="F21" s="27" t="n">
        <x:v>46204</x:v>
      </x:c>
      <x:c r="G21" s="28" t="n">
        <x:v>1</x:v>
      </x:c>
      <x:c r="H21" s="28" t="n">
        <x:f>INT((E21-$B$3)/7)+1</x:f>
        <x:v>4</x:v>
      </x:c>
      <x:c r="I21" s="28" t="n">
        <x:f>INT((F21-$B$3)/7)+1</x:f>
        <x:v>4</x:v>
      </x:c>
      <x:c r="J21" s="83" t="str">
        <x:f>IF(AND(J$4&gt;=$H21,J$4&lt;=$I21),1,"")</x:f>
      </x:c>
      <x:c r="K21" s="83" t="str">
        <x:f>IF(AND(K$4&gt;=$H21,K$4&lt;=$I21),1,"")</x:f>
      </x:c>
      <x:c r="L21" s="83" t="str">
        <x:f>IF(AND(L$4&gt;=$H21,L$4&lt;=$I21),1,"")</x:f>
      </x:c>
      <x:c r="M21" s="83" t="n">
        <x:f>IF(AND(M$4&gt;=$H21,M$4&lt;=$I21),1,"")</x:f>
        <x:v>1</x:v>
      </x:c>
      <x:c r="N21" s="83" t="str">
        <x:f>IF(AND(N$4&gt;=$H21,N$4&lt;=$I21),1,"")</x:f>
      </x:c>
      <x:c r="O21" s="83" t="str">
        <x:f>IF(AND(O$4&gt;=$H21,O$4&lt;=$I21),1,"")</x:f>
      </x:c>
      <x:c r="P21" s="83" t="str">
        <x:f>IF(AND(P$4&gt;=$H21,P$4&lt;=$I21),1,"")</x:f>
      </x:c>
      <x:c r="Q21" s="83" t="str">
        <x:f>IF(AND(Q$4&gt;=$H21,Q$4&lt;=$I21),1,"")</x:f>
      </x:c>
    </x:row>
    <x:row r="22" ht="31.5" customHeight="1">
      <x:c r="A22" s="26" t="str">
        <x:v>4.4</x:v>
      </x:c>
      <x:c r="B22" s="49" t="str">
        <x:v>4. 全局布局与文章系统</x:v>
      </x:c>
      <x:c r="C22" s="26" t="str">
        <x:v>Callout、Reaction、相关文章</x:v>
      </x:c>
      <x:c r="D22" s="26" t="str">
        <x:v>Callout 组件、Reaction 区、Related Posts 区</x:v>
      </x:c>
      <x:c r="E22" s="27" t="n">
        <x:v>46205</x:v>
      </x:c>
      <x:c r="F22" s="27" t="n">
        <x:v>46205</x:v>
      </x:c>
      <x:c r="G22" s="28" t="n">
        <x:v>1</x:v>
      </x:c>
      <x:c r="H22" s="28" t="n">
        <x:f>INT((E22-$B$3)/7)+1</x:f>
        <x:v>4</x:v>
      </x:c>
      <x:c r="I22" s="28" t="n">
        <x:f>INT((F22-$B$3)/7)+1</x:f>
        <x:v>4</x:v>
      </x:c>
      <x:c r="J22" s="83" t="str">
        <x:f>IF(AND(J$4&gt;=$H22,J$4&lt;=$I22),1,"")</x:f>
      </x:c>
      <x:c r="K22" s="83" t="str">
        <x:f>IF(AND(K$4&gt;=$H22,K$4&lt;=$I22),1,"")</x:f>
      </x:c>
      <x:c r="L22" s="83" t="str">
        <x:f>IF(AND(L$4&gt;=$H22,L$4&lt;=$I22),1,"")</x:f>
      </x:c>
      <x:c r="M22" s="83" t="n">
        <x:f>IF(AND(M$4&gt;=$H22,M$4&lt;=$I22),1,"")</x:f>
        <x:v>1</x:v>
      </x:c>
      <x:c r="N22" s="83" t="str">
        <x:f>IF(AND(N$4&gt;=$H22,N$4&lt;=$I22),1,"")</x:f>
      </x:c>
      <x:c r="O22" s="83" t="str">
        <x:f>IF(AND(O$4&gt;=$H22,O$4&lt;=$I22),1,"")</x:f>
      </x:c>
      <x:c r="P22" s="83" t="str">
        <x:f>IF(AND(P$4&gt;=$H22,P$4&lt;=$I22),1,"")</x:f>
      </x:c>
      <x:c r="Q22" s="83" t="str">
        <x:f>IF(AND(Q$4&gt;=$H22,Q$4&lt;=$I22),1,"")</x:f>
      </x:c>
    </x:row>
    <x:row r="23" ht="31.5" customHeight="1">
      <x:c r="A23" s="26" t="str">
        <x:v>4.5</x:v>
      </x:c>
      <x:c r="B23" s="49" t="str">
        <x:v>4. 全局布局与文章系统</x:v>
      </x:c>
      <x:c r="C23" s="26" t="str">
        <x:v>样例文章与封面素材</x:v>
      </x:c>
      <x:c r="D23" s="26" t="str">
        <x:v>5 篇样例文章、封面素材包、文章截图</x:v>
      </x:c>
      <x:c r="E23" s="27" t="n">
        <x:v>46206</x:v>
      </x:c>
      <x:c r="F23" s="27" t="n">
        <x:v>46206</x:v>
      </x:c>
      <x:c r="G23" s="28" t="n">
        <x:v>1</x:v>
      </x:c>
      <x:c r="H23" s="28" t="n">
        <x:f>INT((E23-$B$3)/7)+1</x:f>
        <x:v>4</x:v>
      </x:c>
      <x:c r="I23" s="28" t="n">
        <x:f>INT((F23-$B$3)/7)+1</x:f>
        <x:v>4</x:v>
      </x:c>
      <x:c r="J23" s="83" t="str">
        <x:f>IF(AND(J$4&gt;=$H23,J$4&lt;=$I23),1,"")</x:f>
      </x:c>
      <x:c r="K23" s="83" t="str">
        <x:f>IF(AND(K$4&gt;=$H23,K$4&lt;=$I23),1,"")</x:f>
      </x:c>
      <x:c r="L23" s="83" t="str">
        <x:f>IF(AND(L$4&gt;=$H23,L$4&lt;=$I23),1,"")</x:f>
      </x:c>
      <x:c r="M23" s="83" t="n">
        <x:f>IF(AND(M$4&gt;=$H23,M$4&lt;=$I23),1,"")</x:f>
        <x:v>1</x:v>
      </x:c>
      <x:c r="N23" s="83" t="str">
        <x:f>IF(AND(N$4&gt;=$H23,N$4&lt;=$I23),1,"")</x:f>
      </x:c>
      <x:c r="O23" s="83" t="str">
        <x:f>IF(AND(O$4&gt;=$H23,O$4&lt;=$I23),1,"")</x:f>
      </x:c>
      <x:c r="P23" s="83" t="str">
        <x:f>IF(AND(P$4&gt;=$H23,P$4&lt;=$I23),1,"")</x:f>
      </x:c>
      <x:c r="Q23" s="83" t="str">
        <x:f>IF(AND(Q$4&gt;=$H23,Q$4&lt;=$I23),1,"")</x:f>
      </x:c>
    </x:row>
    <x:row r="24" ht="31.5" customHeight="1">
      <x:c r="A24" s="26" t="str">
        <x:v>5.1</x:v>
      </x:c>
      <x:c r="B24" s="53" t="str">
        <x:v>5. 分类页与筛选系统</x:v>
      </x:c>
      <x:c r="C24" s="26" t="str">
        <x:v>Category Hero 模板</x:v>
      </x:c>
      <x:c r="D24" s="26" t="str">
        <x:v>category hero 模板、模块说明区、视觉区</x:v>
      </x:c>
      <x:c r="E24" s="27" t="n">
        <x:v>46209</x:v>
      </x:c>
      <x:c r="F24" s="27" t="n">
        <x:v>46209</x:v>
      </x:c>
      <x:c r="G24" s="28" t="n">
        <x:v>1</x:v>
      </x:c>
      <x:c r="H24" s="28" t="n">
        <x:f>INT((E24-$B$3)/7)+1</x:f>
        <x:v>5</x:v>
      </x:c>
      <x:c r="I24" s="28" t="n">
        <x:f>INT((F24-$B$3)/7)+1</x:f>
        <x:v>5</x:v>
      </x:c>
      <x:c r="J24" s="83" t="str">
        <x:f>IF(AND(J$4&gt;=$H24,J$4&lt;=$I24),1,"")</x:f>
      </x:c>
      <x:c r="K24" s="83" t="str">
        <x:f>IF(AND(K$4&gt;=$H24,K$4&lt;=$I24),1,"")</x:f>
      </x:c>
      <x:c r="L24" s="83" t="str">
        <x:f>IF(AND(L$4&gt;=$H24,L$4&lt;=$I24),1,"")</x:f>
      </x:c>
      <x:c r="M24" s="83" t="str">
        <x:f>IF(AND(M$4&gt;=$H24,M$4&lt;=$I24),1,"")</x:f>
      </x:c>
      <x:c r="N24" s="83" t="n">
        <x:f>IF(AND(N$4&gt;=$H24,N$4&lt;=$I24),1,"")</x:f>
        <x:v>1</x:v>
      </x:c>
      <x:c r="O24" s="83" t="str">
        <x:f>IF(AND(O$4&gt;=$H24,O$4&lt;=$I24),1,"")</x:f>
      </x:c>
      <x:c r="P24" s="83" t="str">
        <x:f>IF(AND(P$4&gt;=$H24,P$4&lt;=$I24),1,"")</x:f>
      </x:c>
      <x:c r="Q24" s="83" t="str">
        <x:f>IF(AND(Q$4&gt;=$H24,Q$4&lt;=$I24),1,"")</x:f>
      </x:c>
    </x:row>
    <x:row r="25" ht="31.5" customHeight="1">
      <x:c r="A25" s="26" t="str">
        <x:v>5.2</x:v>
      </x:c>
      <x:c r="B25" s="53" t="str">
        <x:v>5. 分类页与筛选系统</x:v>
      </x:c>
      <x:c r="C25" s="26" t="str">
        <x:v>difficulty / topic 筛选</x:v>
      </x:c>
      <x:c r="D25" s="26" t="str">
        <x:v>筛选器、查询结果区、状态说明</x:v>
      </x:c>
      <x:c r="E25" s="27" t="n">
        <x:v>46210</x:v>
      </x:c>
      <x:c r="F25" s="27" t="n">
        <x:v>46210</x:v>
      </x:c>
      <x:c r="G25" s="28" t="n">
        <x:v>1</x:v>
      </x:c>
      <x:c r="H25" s="28" t="n">
        <x:f>INT((E25-$B$3)/7)+1</x:f>
        <x:v>5</x:v>
      </x:c>
      <x:c r="I25" s="28" t="n">
        <x:f>INT((F25-$B$3)/7)+1</x:f>
        <x:v>5</x:v>
      </x:c>
      <x:c r="J25" s="83" t="str">
        <x:f>IF(AND(J$4&gt;=$H25,J$4&lt;=$I25),1,"")</x:f>
      </x:c>
      <x:c r="K25" s="83" t="str">
        <x:f>IF(AND(K$4&gt;=$H25,K$4&lt;=$I25),1,"")</x:f>
      </x:c>
      <x:c r="L25" s="83" t="str">
        <x:f>IF(AND(L$4&gt;=$H25,L$4&lt;=$I25),1,"")</x:f>
      </x:c>
      <x:c r="M25" s="83" t="str">
        <x:f>IF(AND(M$4&gt;=$H25,M$4&lt;=$I25),1,"")</x:f>
      </x:c>
      <x:c r="N25" s="83" t="n">
        <x:f>IF(AND(N$4&gt;=$H25,N$4&lt;=$I25),1,"")</x:f>
        <x:v>1</x:v>
      </x:c>
      <x:c r="O25" s="83" t="str">
        <x:f>IF(AND(O$4&gt;=$H25,O$4&lt;=$I25),1,"")</x:f>
      </x:c>
      <x:c r="P25" s="83" t="str">
        <x:f>IF(AND(P$4&gt;=$H25,P$4&lt;=$I25),1,"")</x:f>
      </x:c>
      <x:c r="Q25" s="83" t="str">
        <x:f>IF(AND(Q$4&gt;=$H25,Q$4&lt;=$I25),1,"")</x:f>
      </x:c>
    </x:row>
    <x:row r="26" ht="31.5" customHeight="1">
      <x:c r="A26" s="26" t="str">
        <x:v>5.3</x:v>
      </x:c>
      <x:c r="B26" s="53" t="str">
        <x:v>5. 分类页与筛选系统</x:v>
      </x:c>
      <x:c r="C26" s="26" t="str">
        <x:v>卡片列表、排序与分页</x:v>
      </x:c>
      <x:c r="D26" s="26" t="str">
        <x:v>卡片网格、排序控件、分页区</x:v>
      </x:c>
      <x:c r="E26" s="27" t="n">
        <x:v>46211</x:v>
      </x:c>
      <x:c r="F26" s="27" t="n">
        <x:v>46211</x:v>
      </x:c>
      <x:c r="G26" s="28" t="n">
        <x:v>1</x:v>
      </x:c>
      <x:c r="H26" s="28" t="n">
        <x:f>INT((E26-$B$3)/7)+1</x:f>
        <x:v>5</x:v>
      </x:c>
      <x:c r="I26" s="28" t="n">
        <x:f>INT((F26-$B$3)/7)+1</x:f>
        <x:v>5</x:v>
      </x:c>
      <x:c r="J26" s="83" t="str">
        <x:f>IF(AND(J$4&gt;=$H26,J$4&lt;=$I26),1,"")</x:f>
      </x:c>
      <x:c r="K26" s="83" t="str">
        <x:f>IF(AND(K$4&gt;=$H26,K$4&lt;=$I26),1,"")</x:f>
      </x:c>
      <x:c r="L26" s="83" t="str">
        <x:f>IF(AND(L$4&gt;=$H26,L$4&lt;=$I26),1,"")</x:f>
      </x:c>
      <x:c r="M26" s="83" t="str">
        <x:f>IF(AND(M$4&gt;=$H26,M$4&lt;=$I26),1,"")</x:f>
      </x:c>
      <x:c r="N26" s="83" t="n">
        <x:f>IF(AND(N$4&gt;=$H26,N$4&lt;=$I26),1,"")</x:f>
        <x:v>1</x:v>
      </x:c>
      <x:c r="O26" s="83" t="str">
        <x:f>IF(AND(O$4&gt;=$H26,O$4&lt;=$I26),1,"")</x:f>
      </x:c>
      <x:c r="P26" s="83" t="str">
        <x:f>IF(AND(P$4&gt;=$H26,P$4&lt;=$I26),1,"")</x:f>
      </x:c>
      <x:c r="Q26" s="83" t="str">
        <x:f>IF(AND(Q$4&gt;=$H26,Q$4&lt;=$I26),1,"")</x:f>
      </x:c>
    </x:row>
    <x:row r="27" ht="31.5" customHeight="1">
      <x:c r="A27" s="26" t="str">
        <x:v>5.4</x:v>
      </x:c>
      <x:c r="B27" s="53" t="str">
        <x:v>5. 分类页与筛选系统</x:v>
      </x:c>
      <x:c r="C27" s="26" t="str">
        <x:v>移动端 Drawer 与响应式修正</x:v>
      </x:c>
      <x:c r="D27" s="26" t="str">
        <x:v>移动端筛选抽屉、响应式修正记录、对比截图</x:v>
      </x:c>
      <x:c r="E27" s="27" t="n">
        <x:v>46212</x:v>
      </x:c>
      <x:c r="F27" s="27" t="n">
        <x:v>46213</x:v>
      </x:c>
      <x:c r="G27" s="28" t="n">
        <x:v>2</x:v>
      </x:c>
      <x:c r="H27" s="28" t="n">
        <x:f>INT((E27-$B$3)/7)+1</x:f>
        <x:v>5</x:v>
      </x:c>
      <x:c r="I27" s="28" t="n">
        <x:f>INT((F27-$B$3)/7)+1</x:f>
        <x:v>5</x:v>
      </x:c>
      <x:c r="J27" s="83" t="str">
        <x:f>IF(AND(J$4&gt;=$H27,J$4&lt;=$I27),1,"")</x:f>
      </x:c>
      <x:c r="K27" s="83" t="str">
        <x:f>IF(AND(K$4&gt;=$H27,K$4&lt;=$I27),1,"")</x:f>
      </x:c>
      <x:c r="L27" s="83" t="str">
        <x:f>IF(AND(L$4&gt;=$H27,L$4&lt;=$I27),1,"")</x:f>
      </x:c>
      <x:c r="M27" s="83" t="str">
        <x:f>IF(AND(M$4&gt;=$H27,M$4&lt;=$I27),1,"")</x:f>
      </x:c>
      <x:c r="N27" s="83" t="n">
        <x:f>IF(AND(N$4&gt;=$H27,N$4&lt;=$I27),1,"")</x:f>
        <x:v>1</x:v>
      </x:c>
      <x:c r="O27" s="83" t="str">
        <x:f>IF(AND(O$4&gt;=$H27,O$4&lt;=$I27),1,"")</x:f>
      </x:c>
      <x:c r="P27" s="83" t="str">
        <x:f>IF(AND(P$4&gt;=$H27,P$4&lt;=$I27),1,"")</x:f>
      </x:c>
      <x:c r="Q27" s="83" t="str">
        <x:f>IF(AND(Q$4&gt;=$H27,Q$4&lt;=$I27),1,"")</x:f>
      </x:c>
    </x:row>
    <x:row r="28" ht="31.5" customHeight="1">
      <x:c r="A28" s="26" t="str">
        <x:v>6.1</x:v>
      </x:c>
      <x:c r="B28" s="57" t="str">
        <x:v>6. 首页核心模块开发</x:v>
      </x:c>
      <x:c r="C28" s="26" t="str">
        <x:v>Front Page 模板与 Hero</x:v>
      </x:c>
      <x:c r="D28" s="26" t="str">
        <x:v>front-page.php、Hero 区、主视觉截图</x:v>
      </x:c>
      <x:c r="E28" s="27" t="n">
        <x:v>46216</x:v>
      </x:c>
      <x:c r="F28" s="27" t="n">
        <x:v>46217</x:v>
      </x:c>
      <x:c r="G28" s="28" t="n">
        <x:v>2</x:v>
      </x:c>
      <x:c r="H28" s="28" t="n">
        <x:f>INT((E28-$B$3)/7)+1</x:f>
        <x:v>6</x:v>
      </x:c>
      <x:c r="I28" s="28" t="n">
        <x:f>INT((F28-$B$3)/7)+1</x:f>
        <x:v>6</x:v>
      </x:c>
      <x:c r="J28" s="83" t="str">
        <x:f>IF(AND(J$4&gt;=$H28,J$4&lt;=$I28),1,"")</x:f>
      </x:c>
      <x:c r="K28" s="83" t="str">
        <x:f>IF(AND(K$4&gt;=$H28,K$4&lt;=$I28),1,"")</x:f>
      </x:c>
      <x:c r="L28" s="83" t="str">
        <x:f>IF(AND(L$4&gt;=$H28,L$4&lt;=$I28),1,"")</x:f>
      </x:c>
      <x:c r="M28" s="83" t="str">
        <x:f>IF(AND(M$4&gt;=$H28,M$4&lt;=$I28),1,"")</x:f>
      </x:c>
      <x:c r="N28" s="83" t="str">
        <x:f>IF(AND(N$4&gt;=$H28,N$4&lt;=$I28),1,"")</x:f>
      </x:c>
      <x:c r="O28" s="83" t="n">
        <x:f>IF(AND(O$4&gt;=$H28,O$4&lt;=$I28),1,"")</x:f>
        <x:v>1</x:v>
      </x:c>
      <x:c r="P28" s="83" t="str">
        <x:f>IF(AND(P$4&gt;=$H28,P$4&lt;=$I28),1,"")</x:f>
      </x:c>
      <x:c r="Q28" s="83" t="str">
        <x:f>IF(AND(Q$4&gt;=$H28,Q$4&lt;=$I28),1,"")</x:f>
      </x:c>
    </x:row>
    <x:row r="29" ht="31.5" customHeight="1">
      <x:c r="A29" s="26" t="str">
        <x:v>6.2</x:v>
      </x:c>
      <x:c r="B29" s="57" t="str">
        <x:v>6. 首页核心模块开发</x:v>
      </x:c>
      <x:c r="C29" s="26" t="str">
        <x:v>9 模块卡片区</x:v>
      </x:c>
      <x:c r="D29" s="26" t="str">
        <x:v>9 模块卡片区、卡片样式与链接</x:v>
      </x:c>
      <x:c r="E29" s="27" t="n">
        <x:v>46218</x:v>
      </x:c>
      <x:c r="F29" s="27" t="n">
        <x:v>46218</x:v>
      </x:c>
      <x:c r="G29" s="28" t="n">
        <x:v>1</x:v>
      </x:c>
      <x:c r="H29" s="28" t="n">
        <x:f>INT((E29-$B$3)/7)+1</x:f>
        <x:v>6</x:v>
      </x:c>
      <x:c r="I29" s="28" t="n">
        <x:f>INT((F29-$B$3)/7)+1</x:f>
        <x:v>6</x:v>
      </x:c>
      <x:c r="J29" s="83" t="str">
        <x:f>IF(AND(J$4&gt;=$H29,J$4&lt;=$I29),1,"")</x:f>
      </x:c>
      <x:c r="K29" s="83" t="str">
        <x:f>IF(AND(K$4&gt;=$H29,K$4&lt;=$I29),1,"")</x:f>
      </x:c>
      <x:c r="L29" s="83" t="str">
        <x:f>IF(AND(L$4&gt;=$H29,L$4&lt;=$I29),1,"")</x:f>
      </x:c>
      <x:c r="M29" s="83" t="str">
        <x:f>IF(AND(M$4&gt;=$H29,M$4&lt;=$I29),1,"")</x:f>
      </x:c>
      <x:c r="N29" s="83" t="str">
        <x:f>IF(AND(N$4&gt;=$H29,N$4&lt;=$I29),1,"")</x:f>
      </x:c>
      <x:c r="O29" s="83" t="n">
        <x:f>IF(AND(O$4&gt;=$H29,O$4&lt;=$I29),1,"")</x:f>
        <x:v>1</x:v>
      </x:c>
      <x:c r="P29" s="83" t="str">
        <x:f>IF(AND(P$4&gt;=$H29,P$4&lt;=$I29),1,"")</x:f>
      </x:c>
      <x:c r="Q29" s="83" t="str">
        <x:f>IF(AND(Q$4&gt;=$H29,Q$4&lt;=$I29),1,"")</x:f>
      </x:c>
    </x:row>
    <x:row r="30" ht="31.5" customHeight="1">
      <x:c r="A30" s="26" t="str">
        <x:v>6.3</x:v>
      </x:c>
      <x:c r="B30" s="57" t="str">
        <x:v>6. 首页核心模块开发</x:v>
      </x:c>
      <x:c r="C30" s="26" t="str">
        <x:v>Learning Path 模块</x:v>
      </x:c>
      <x:c r="D30" s="26" t="str">
        <x:v>learning_path CPT、前台模块、样例数据</x:v>
      </x:c>
      <x:c r="E30" s="27" t="n">
        <x:v>46219</x:v>
      </x:c>
      <x:c r="F30" s="27" t="n">
        <x:v>46219</x:v>
      </x:c>
      <x:c r="G30" s="28" t="n">
        <x:v>1</x:v>
      </x:c>
      <x:c r="H30" s="28" t="n">
        <x:f>INT((E30-$B$3)/7)+1</x:f>
        <x:v>6</x:v>
      </x:c>
      <x:c r="I30" s="28" t="n">
        <x:f>INT((F30-$B$3)/7)+1</x:f>
        <x:v>6</x:v>
      </x:c>
      <x:c r="J30" s="83" t="str">
        <x:f>IF(AND(J$4&gt;=$H30,J$4&lt;=$I30),1,"")</x:f>
      </x:c>
      <x:c r="K30" s="83" t="str">
        <x:f>IF(AND(K$4&gt;=$H30,K$4&lt;=$I30),1,"")</x:f>
      </x:c>
      <x:c r="L30" s="83" t="str">
        <x:f>IF(AND(L$4&gt;=$H30,L$4&lt;=$I30),1,"")</x:f>
      </x:c>
      <x:c r="M30" s="83" t="str">
        <x:f>IF(AND(M$4&gt;=$H30,M$4&lt;=$I30),1,"")</x:f>
      </x:c>
      <x:c r="N30" s="83" t="str">
        <x:f>IF(AND(N$4&gt;=$H30,N$4&lt;=$I30),1,"")</x:f>
      </x:c>
      <x:c r="O30" s="83" t="n">
        <x:f>IF(AND(O$4&gt;=$H30,O$4&lt;=$I30),1,"")</x:f>
        <x:v>1</x:v>
      </x:c>
      <x:c r="P30" s="83" t="str">
        <x:f>IF(AND(P$4&gt;=$H30,P$4&lt;=$I30),1,"")</x:f>
      </x:c>
      <x:c r="Q30" s="83" t="str">
        <x:f>IF(AND(Q$4&gt;=$H30,Q$4&lt;=$I30),1,"")</x:f>
      </x:c>
    </x:row>
    <x:row r="31" ht="31.5" customHeight="1">
      <x:c r="A31" s="26" t="str">
        <x:v>6.4</x:v>
      </x:c>
      <x:c r="B31" s="57" t="str">
        <x:v>6. 首页核心模块开发</x:v>
      </x:c>
      <x:c r="C31" s="26" t="str">
        <x:v>Daily Quiz 模块</x:v>
      </x:c>
      <x:c r="D31" s="26" t="str">
        <x:v>Quiz 模块、题库样例、交互脚本</x:v>
      </x:c>
      <x:c r="E31" s="27" t="n">
        <x:v>46220</x:v>
      </x:c>
      <x:c r="F31" s="27" t="n">
        <x:v>46220</x:v>
      </x:c>
      <x:c r="G31" s="28" t="n">
        <x:v>1</x:v>
      </x:c>
      <x:c r="H31" s="28" t="n">
        <x:f>INT((E31-$B$3)/7)+1</x:f>
        <x:v>6</x:v>
      </x:c>
      <x:c r="I31" s="28" t="n">
        <x:f>INT((F31-$B$3)/7)+1</x:f>
        <x:v>6</x:v>
      </x:c>
      <x:c r="J31" s="83" t="str">
        <x:f>IF(AND(J$4&gt;=$H31,J$4&lt;=$I31),1,"")</x:f>
      </x:c>
      <x:c r="K31" s="83" t="str">
        <x:f>IF(AND(K$4&gt;=$H31,K$4&lt;=$I31),1,"")</x:f>
      </x:c>
      <x:c r="L31" s="83" t="str">
        <x:f>IF(AND(L$4&gt;=$H31,L$4&lt;=$I31),1,"")</x:f>
      </x:c>
      <x:c r="M31" s="83" t="str">
        <x:f>IF(AND(M$4&gt;=$H31,M$4&lt;=$I31),1,"")</x:f>
      </x:c>
      <x:c r="N31" s="83" t="str">
        <x:f>IF(AND(N$4&gt;=$H31,N$4&lt;=$I31),1,"")</x:f>
      </x:c>
      <x:c r="O31" s="83" t="n">
        <x:f>IF(AND(O$4&gt;=$H31,O$4&lt;=$I31),1,"")</x:f>
        <x:v>1</x:v>
      </x:c>
      <x:c r="P31" s="83" t="str">
        <x:f>IF(AND(P$4&gt;=$H31,P$4&lt;=$I31),1,"")</x:f>
      </x:c>
      <x:c r="Q31" s="83" t="str">
        <x:f>IF(AND(Q$4&gt;=$H31,Q$4&lt;=$I31),1,"")</x:f>
      </x:c>
    </x:row>
    <x:row r="32" ht="31.5" customHeight="1">
      <x:c r="A32" s="26" t="str">
        <x:v>6.5</x:v>
      </x:c>
      <x:c r="B32" s="57" t="str">
        <x:v>6. 首页核心模块开发</x:v>
      </x:c>
      <x:c r="C32" s="26" t="str">
        <x:v>新着、热门、YouTube、Newsletter</x:v>
      </x:c>
      <x:c r="D32" s="26" t="str">
        <x:v>文章列表区、Top10、视频区、订阅区</x:v>
      </x:c>
      <x:c r="E32" s="27" t="n">
        <x:v>46223</x:v>
      </x:c>
      <x:c r="F32" s="27" t="n">
        <x:v>46224</x:v>
      </x:c>
      <x:c r="G32" s="28" t="n">
        <x:v>2</x:v>
      </x:c>
      <x:c r="H32" s="28" t="n">
        <x:f>INT((E32-$B$3)/7)+1</x:f>
        <x:v>7</x:v>
      </x:c>
      <x:c r="I32" s="28" t="n">
        <x:f>INT((F32-$B$3)/7)+1</x:f>
        <x:v>7</x:v>
      </x:c>
      <x:c r="J32" s="83" t="str">
        <x:f>IF(AND(J$4&gt;=$H32,J$4&lt;=$I32),1,"")</x:f>
      </x:c>
      <x:c r="K32" s="83" t="str">
        <x:f>IF(AND(K$4&gt;=$H32,K$4&lt;=$I32),1,"")</x:f>
      </x:c>
      <x:c r="L32" s="83" t="str">
        <x:f>IF(AND(L$4&gt;=$H32,L$4&lt;=$I32),1,"")</x:f>
      </x:c>
      <x:c r="M32" s="83" t="str">
        <x:f>IF(AND(M$4&gt;=$H32,M$4&lt;=$I32),1,"")</x:f>
      </x:c>
      <x:c r="N32" s="83" t="str">
        <x:f>IF(AND(N$4&gt;=$H32,N$4&lt;=$I32),1,"")</x:f>
      </x:c>
      <x:c r="O32" s="83" t="str">
        <x:f>IF(AND(O$4&gt;=$H32,O$4&lt;=$I32),1,"")</x:f>
      </x:c>
      <x:c r="P32" s="83" t="n">
        <x:f>IF(AND(P$4&gt;=$H32,P$4&lt;=$I32),1,"")</x:f>
        <x:v>1</x:v>
      </x:c>
      <x:c r="Q32" s="83" t="str">
        <x:f>IF(AND(Q$4&gt;=$H32,Q$4&lt;=$I32),1,"")</x:f>
      </x:c>
    </x:row>
    <x:row r="33" ht="31.5" customHeight="1">
      <x:c r="A33" s="26" t="str">
        <x:v>7.1</x:v>
      </x:c>
      <x:c r="B33" s="61" t="str">
        <x:v>7. 内容填充与质量保证</x:v>
      </x:c>
      <x:c r="C33" s="26" t="str">
        <x:v>样例内容批量填充</x:v>
      </x:c>
      <x:c r="D33" s="26" t="str">
        <x:v>内容清单、样例页面、媒体素材表</x:v>
      </x:c>
      <x:c r="E33" s="27" t="n">
        <x:v>46225</x:v>
      </x:c>
      <x:c r="F33" s="27" t="n">
        <x:v>46225</x:v>
      </x:c>
      <x:c r="G33" s="28" t="n">
        <x:v>1</x:v>
      </x:c>
      <x:c r="H33" s="28" t="n">
        <x:f>INT((E33-$B$3)/7)+1</x:f>
        <x:v>7</x:v>
      </x:c>
      <x:c r="I33" s="28" t="n">
        <x:f>INT((F33-$B$3)/7)+1</x:f>
        <x:v>7</x:v>
      </x:c>
      <x:c r="J33" s="83" t="str">
        <x:f>IF(AND(J$4&gt;=$H33,J$4&lt;=$I33),1,"")</x:f>
      </x:c>
      <x:c r="K33" s="83" t="str">
        <x:f>IF(AND(K$4&gt;=$H33,K$4&lt;=$I33),1,"")</x:f>
      </x:c>
      <x:c r="L33" s="83" t="str">
        <x:f>IF(AND(L$4&gt;=$H33,L$4&lt;=$I33),1,"")</x:f>
      </x:c>
      <x:c r="M33" s="83" t="str">
        <x:f>IF(AND(M$4&gt;=$H33,M$4&lt;=$I33),1,"")</x:f>
      </x:c>
      <x:c r="N33" s="83" t="str">
        <x:f>IF(AND(N$4&gt;=$H33,N$4&lt;=$I33),1,"")</x:f>
      </x:c>
      <x:c r="O33" s="83" t="str">
        <x:f>IF(AND(O$4&gt;=$H33,O$4&lt;=$I33),1,"")</x:f>
      </x:c>
      <x:c r="P33" s="83" t="n">
        <x:f>IF(AND(P$4&gt;=$H33,P$4&lt;=$I33),1,"")</x:f>
        <x:v>1</x:v>
      </x:c>
      <x:c r="Q33" s="83" t="str">
        <x:f>IF(AND(Q$4&gt;=$H33,Q$4&lt;=$I33),1,"")</x:f>
      </x:c>
    </x:row>
    <x:row r="34" ht="31.5" customHeight="1">
      <x:c r="A34" s="26" t="str">
        <x:v>7.2</x:v>
      </x:c>
      <x:c r="B34" s="61" t="str">
        <x:v>7. 内容填充与质量保证</x:v>
      </x:c>
      <x:c r="C34" s="26" t="str">
        <x:v>AI 生成与测试记录归档</x:v>
      </x:c>
      <x:c r="D34" s="26" t="str">
        <x:v>Prompt 日志、测试脚本、修正记录</x:v>
      </x:c>
      <x:c r="E34" s="27" t="n">
        <x:v>46226</x:v>
      </x:c>
      <x:c r="F34" s="27" t="n">
        <x:v>46226</x:v>
      </x:c>
      <x:c r="G34" s="28" t="n">
        <x:v>1</x:v>
      </x:c>
      <x:c r="H34" s="28" t="n">
        <x:f>INT((E34-$B$3)/7)+1</x:f>
        <x:v>7</x:v>
      </x:c>
      <x:c r="I34" s="28" t="n">
        <x:f>INT((F34-$B$3)/7)+1</x:f>
        <x:v>7</x:v>
      </x:c>
      <x:c r="J34" s="83" t="str">
        <x:f>IF(AND(J$4&gt;=$H34,J$4&lt;=$I34),1,"")</x:f>
      </x:c>
      <x:c r="K34" s="83" t="str">
        <x:f>IF(AND(K$4&gt;=$H34,K$4&lt;=$I34),1,"")</x:f>
      </x:c>
      <x:c r="L34" s="83" t="str">
        <x:f>IF(AND(L$4&gt;=$H34,L$4&lt;=$I34),1,"")</x:f>
      </x:c>
      <x:c r="M34" s="83" t="str">
        <x:f>IF(AND(M$4&gt;=$H34,M$4&lt;=$I34),1,"")</x:f>
      </x:c>
      <x:c r="N34" s="83" t="str">
        <x:f>IF(AND(N$4&gt;=$H34,N$4&lt;=$I34),1,"")</x:f>
      </x:c>
      <x:c r="O34" s="83" t="str">
        <x:f>IF(AND(O$4&gt;=$H34,O$4&lt;=$I34),1,"")</x:f>
      </x:c>
      <x:c r="P34" s="83" t="n">
        <x:f>IF(AND(P$4&gt;=$H34,P$4&lt;=$I34),1,"")</x:f>
        <x:v>1</x:v>
      </x:c>
      <x:c r="Q34" s="83" t="str">
        <x:f>IF(AND(Q$4&gt;=$H34,Q$4&lt;=$I34),1,"")</x:f>
      </x:c>
    </x:row>
    <x:row r="35" ht="31.5" customHeight="1">
      <x:c r="A35" s="26" t="str">
        <x:v>7.3</x:v>
      </x:c>
      <x:c r="B35" s="61" t="str">
        <x:v>7. 内容填充与质量保证</x:v>
      </x:c>
      <x:c r="C35" s="26" t="str">
        <x:v>功能回归与缺陷修复</x:v>
      </x:c>
      <x:c r="D35" s="26" t="str">
        <x:v>测试报告、缺陷清单、修复记录</x:v>
      </x:c>
      <x:c r="E35" s="27" t="n">
        <x:v>46227</x:v>
      </x:c>
      <x:c r="F35" s="27" t="n">
        <x:v>46227</x:v>
      </x:c>
      <x:c r="G35" s="28" t="n">
        <x:v>1</x:v>
      </x:c>
      <x:c r="H35" s="28" t="n">
        <x:f>INT((E35-$B$3)/7)+1</x:f>
        <x:v>7</x:v>
      </x:c>
      <x:c r="I35" s="28" t="n">
        <x:f>INT((F35-$B$3)/7)+1</x:f>
        <x:v>7</x:v>
      </x:c>
      <x:c r="J35" s="83" t="str">
        <x:f>IF(AND(J$4&gt;=$H35,J$4&lt;=$I35),1,"")</x:f>
      </x:c>
      <x:c r="K35" s="83" t="str">
        <x:f>IF(AND(K$4&gt;=$H35,K$4&lt;=$I35),1,"")</x:f>
      </x:c>
      <x:c r="L35" s="83" t="str">
        <x:f>IF(AND(L$4&gt;=$H35,L$4&lt;=$I35),1,"")</x:f>
      </x:c>
      <x:c r="M35" s="83" t="str">
        <x:f>IF(AND(M$4&gt;=$H35,M$4&lt;=$I35),1,"")</x:f>
      </x:c>
      <x:c r="N35" s="83" t="str">
        <x:f>IF(AND(N$4&gt;=$H35,N$4&lt;=$I35),1,"")</x:f>
      </x:c>
      <x:c r="O35" s="83" t="str">
        <x:f>IF(AND(O$4&gt;=$H35,O$4&lt;=$I35),1,"")</x:f>
      </x:c>
      <x:c r="P35" s="83" t="n">
        <x:f>IF(AND(P$4&gt;=$H35,P$4&lt;=$I35),1,"")</x:f>
        <x:v>1</x:v>
      </x:c>
      <x:c r="Q35" s="83" t="str">
        <x:f>IF(AND(Q$4&gt;=$H35,Q$4&lt;=$I35),1,"")</x:f>
      </x:c>
    </x:row>
    <x:row r="36" ht="31.5" customHeight="1">
      <x:c r="A36" s="26" t="str">
        <x:v>7.4</x:v>
      </x:c>
      <x:c r="B36" s="61" t="str">
        <x:v>7. 内容填充与质量保证</x:v>
      </x:c>
      <x:c r="C36" s="26" t="str">
        <x:v>响应式、性能、SEO、可访问性</x:v>
      </x:c>
      <x:c r="D36" s="26" t="str">
        <x:v>Lighthouse 报告、SEO 清单、无障碍检查表</x:v>
      </x:c>
      <x:c r="E36" s="27" t="n">
        <x:v>46230</x:v>
      </x:c>
      <x:c r="F36" s="27" t="n">
        <x:v>46231</x:v>
      </x:c>
      <x:c r="G36" s="28" t="n">
        <x:v>2</x:v>
      </x:c>
      <x:c r="H36" s="28" t="n">
        <x:f>INT((E36-$B$3)/7)+1</x:f>
        <x:v>8</x:v>
      </x:c>
      <x:c r="I36" s="28" t="n">
        <x:f>INT((F36-$B$3)/7)+1</x:f>
        <x:v>8</x:v>
      </x:c>
      <x:c r="J36" s="83" t="str">
        <x:f>IF(AND(J$4&gt;=$H36,J$4&lt;=$I36),1,"")</x:f>
      </x:c>
      <x:c r="K36" s="83" t="str">
        <x:f>IF(AND(K$4&gt;=$H36,K$4&lt;=$I36),1,"")</x:f>
      </x:c>
      <x:c r="L36" s="83" t="str">
        <x:f>IF(AND(L$4&gt;=$H36,L$4&lt;=$I36),1,"")</x:f>
      </x:c>
      <x:c r="M36" s="83" t="str">
        <x:f>IF(AND(M$4&gt;=$H36,M$4&lt;=$I36),1,"")</x:f>
      </x:c>
      <x:c r="N36" s="83" t="str">
        <x:f>IF(AND(N$4&gt;=$H36,N$4&lt;=$I36),1,"")</x:f>
      </x:c>
      <x:c r="O36" s="83" t="str">
        <x:f>IF(AND(O$4&gt;=$H36,O$4&lt;=$I36),1,"")</x:f>
      </x:c>
      <x:c r="P36" s="83" t="str">
        <x:f>IF(AND(P$4&gt;=$H36,P$4&lt;=$I36),1,"")</x:f>
      </x:c>
      <x:c r="Q36" s="83" t="n">
        <x:f>IF(AND(Q$4&gt;=$H36,Q$4&lt;=$I36),1,"")</x:f>
        <x:v>1</x:v>
      </x:c>
    </x:row>
    <x:row r="37" ht="31.5" customHeight="1">
      <x:c r="A37" s="26" t="str">
        <x:v>8.1</x:v>
      </x:c>
      <x:c r="B37" s="65" t="str">
        <x:v>8. 迁移演练与 IP 发布</x:v>
      </x:c>
      <x:c r="C37" s="26" t="str">
        <x:v>本地备份与迁移演练</x:v>
      </x:c>
      <x:c r="D37" s="26" t="str">
        <x:v>备份包、数据库导出、迁移 SOP、回滚方案</x:v>
      </x:c>
      <x:c r="E37" s="27" t="n">
        <x:v>46232</x:v>
      </x:c>
      <x:c r="F37" s="27" t="n">
        <x:v>46232</x:v>
      </x:c>
      <x:c r="G37" s="28" t="n">
        <x:v>1</x:v>
      </x:c>
      <x:c r="H37" s="28" t="n">
        <x:f>INT((E37-$B$3)/7)+1</x:f>
        <x:v>8</x:v>
      </x:c>
      <x:c r="I37" s="28" t="n">
        <x:f>INT((F37-$B$3)/7)+1</x:f>
        <x:v>8</x:v>
      </x:c>
      <x:c r="J37" s="83" t="str">
        <x:f>IF(AND(J$4&gt;=$H37,J$4&lt;=$I37),1,"")</x:f>
      </x:c>
      <x:c r="K37" s="83" t="str">
        <x:f>IF(AND(K$4&gt;=$H37,K$4&lt;=$I37),1,"")</x:f>
      </x:c>
      <x:c r="L37" s="83" t="str">
        <x:f>IF(AND(L$4&gt;=$H37,L$4&lt;=$I37),1,"")</x:f>
      </x:c>
      <x:c r="M37" s="83" t="str">
        <x:f>IF(AND(M$4&gt;=$H37,M$4&lt;=$I37),1,"")</x:f>
      </x:c>
      <x:c r="N37" s="83" t="str">
        <x:f>IF(AND(N$4&gt;=$H37,N$4&lt;=$I37),1,"")</x:f>
      </x:c>
      <x:c r="O37" s="83" t="str">
        <x:f>IF(AND(O$4&gt;=$H37,O$4&lt;=$I37),1,"")</x:f>
      </x:c>
      <x:c r="P37" s="83" t="str">
        <x:f>IF(AND(P$4&gt;=$H37,P$4&lt;=$I37),1,"")</x:f>
      </x:c>
      <x:c r="Q37" s="83" t="n">
        <x:f>IF(AND(Q$4&gt;=$H37,Q$4&lt;=$I37),1,"")</x:f>
        <x:v>1</x:v>
      </x:c>
    </x:row>
    <x:row r="38" ht="31.5" customHeight="1">
      <x:c r="A38" s="26" t="str">
        <x:v>8.2</x:v>
      </x:c>
      <x:c r="B38" s="65" t="str">
        <x:v>8. 迁移演练与 IP 发布</x:v>
      </x:c>
      <x:c r="C38" s="26" t="str">
        <x:v>服务器部署与 IP 发布</x:v>
      </x:c>
      <x:c r="D38" s="26" t="str">
        <x:v>服务器部署记录、上线 IP、账号权限表</x:v>
      </x:c>
      <x:c r="E38" s="27" t="n">
        <x:v>46233</x:v>
      </x:c>
      <x:c r="F38" s="27" t="n">
        <x:v>46233</x:v>
      </x:c>
      <x:c r="G38" s="28" t="n">
        <x:v>1</x:v>
      </x:c>
      <x:c r="H38" s="28" t="n">
        <x:f>INT((E38-$B$3)/7)+1</x:f>
        <x:v>8</x:v>
      </x:c>
      <x:c r="I38" s="28" t="n">
        <x:f>INT((F38-$B$3)/7)+1</x:f>
        <x:v>8</x:v>
      </x:c>
      <x:c r="J38" s="83" t="str">
        <x:f>IF(AND(J$4&gt;=$H38,J$4&lt;=$I38),1,"")</x:f>
      </x:c>
      <x:c r="K38" s="83" t="str">
        <x:f>IF(AND(K$4&gt;=$H38,K$4&lt;=$I38),1,"")</x:f>
      </x:c>
      <x:c r="L38" s="83" t="str">
        <x:f>IF(AND(L$4&gt;=$H38,L$4&lt;=$I38),1,"")</x:f>
      </x:c>
      <x:c r="M38" s="83" t="str">
        <x:f>IF(AND(M$4&gt;=$H38,M$4&lt;=$I38),1,"")</x:f>
      </x:c>
      <x:c r="N38" s="83" t="str">
        <x:f>IF(AND(N$4&gt;=$H38,N$4&lt;=$I38),1,"")</x:f>
      </x:c>
      <x:c r="O38" s="83" t="str">
        <x:f>IF(AND(O$4&gt;=$H38,O$4&lt;=$I38),1,"")</x:f>
      </x:c>
      <x:c r="P38" s="83" t="str">
        <x:f>IF(AND(P$4&gt;=$H38,P$4&lt;=$I38),1,"")</x:f>
      </x:c>
      <x:c r="Q38" s="83" t="n">
        <x:f>IF(AND(Q$4&gt;=$H38,Q$4&lt;=$I38),1,"")</x:f>
        <x:v>1</x:v>
      </x:c>
    </x:row>
    <x:row r="39" ht="31.5" customHeight="1">
      <x:c r="A39" s="26" t="str">
        <x:v>8.3</x:v>
      </x:c>
      <x:c r="B39" s="65" t="str">
        <x:v>8. 迁移演练与 IP 发布</x:v>
      </x:c>
      <x:c r="C39" s="26" t="str">
        <x:v>公网冒烟测试与交接</x:v>
      </x:c>
      <x:c r="D39" s="26" t="str">
        <x:v>上线验收单、运维手册、后续 Backlog</x:v>
      </x:c>
      <x:c r="E39" s="27" t="n">
        <x:v>46234</x:v>
      </x:c>
      <x:c r="F39" s="27" t="n">
        <x:v>46234</x:v>
      </x:c>
      <x:c r="G39" s="28" t="n">
        <x:v>1</x:v>
      </x:c>
      <x:c r="H39" s="28" t="n">
        <x:f>INT((E39-$B$3)/7)+1</x:f>
        <x:v>8</x:v>
      </x:c>
      <x:c r="I39" s="28" t="n">
        <x:f>INT((F39-$B$3)/7)+1</x:f>
        <x:v>8</x:v>
      </x:c>
      <x:c r="J39" s="83" t="str">
        <x:f>IF(AND(J$4&gt;=$H39,J$4&lt;=$I39),1,"")</x:f>
      </x:c>
      <x:c r="K39" s="83" t="str">
        <x:f>IF(AND(K$4&gt;=$H39,K$4&lt;=$I39),1,"")</x:f>
      </x:c>
      <x:c r="L39" s="83" t="str">
        <x:f>IF(AND(L$4&gt;=$H39,L$4&lt;=$I39),1,"")</x:f>
      </x:c>
      <x:c r="M39" s="83" t="str">
        <x:f>IF(AND(M$4&gt;=$H39,M$4&lt;=$I39),1,"")</x:f>
      </x:c>
      <x:c r="N39" s="83" t="str">
        <x:f>IF(AND(N$4&gt;=$H39,N$4&lt;=$I39),1,"")</x:f>
      </x:c>
      <x:c r="O39" s="83" t="str">
        <x:f>IF(AND(O$4&gt;=$H39,O$4&lt;=$I39),1,"")</x:f>
      </x:c>
      <x:c r="P39" s="83" t="str">
        <x:f>IF(AND(P$4&gt;=$H39,P$4&lt;=$I39),1,"")</x:f>
      </x:c>
      <x:c r="Q39" s="83" t="n">
        <x:f>IF(AND(Q$4&gt;=$H39,Q$4&lt;=$I39),1,"")</x:f>
        <x:v>1</x:v>
      </x:c>
    </x:row>
  </x:sheetData>
  <x:mergeCells>
    <x:mergeCell ref="A1:Q1"/>
  </x:mergeCells>
  <x:conditionalFormatting sqref="J6:Q39">
    <x:cfRule type="cellIs" dxfId="0" priority="1" operator="greaterThan">
      <x:formula>0</x:formula>
    </x:cfRule>
  </x:conditionalFormatting>
  <x:pageMargins left="0.7" right="0.7" top="0.75" bottom="0.75" header="0.3" footer="0.3"/>
</x:worksheet>
</file>